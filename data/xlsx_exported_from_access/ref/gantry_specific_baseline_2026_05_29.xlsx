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66925"/>
  <mc:AlternateContent xmlns:mc="http://schemas.openxmlformats.org/markup-compatibility/2006">
    <mc:Choice Requires="x15">
      <x15ac:absPath xmlns:x15ac="http://schemas.microsoft.com/office/spreadsheetml/2010/11/ac" url="https://nhs-my.sharepoint.com/personal/kawing_chung_nhs_net/Documents/python_code/spot-analysis/miscellaneous/gantry_specific_basline/"/>
    </mc:Choice>
  </mc:AlternateContent>
  <xr:revisionPtr revIDLastSave="7" documentId="13_ncr:1_{E1338910-5BB2-441F-9B86-BABBAA474A73}" xr6:coauthVersionLast="47" xr6:coauthVersionMax="47" xr10:uidLastSave="{3F30147A-F5D8-4770-9F7A-B432E833AF7B}"/>
  <bookViews>
    <workbookView xWindow="-28920" yWindow="75" windowWidth="29040" windowHeight="15840" tabRatio="931" activeTab="6" xr2:uid="{15A4F7AB-CE67-48C2-A869-BC2C8E4C9FDB}"/>
  </bookViews>
  <sheets>
    <sheet name="summary" sheetId="1" r:id="rId1"/>
    <sheet name="TPS" sheetId="2" r:id="rId2"/>
    <sheet name="G1_GA0" sheetId="3" r:id="rId3"/>
    <sheet name="G1_GA90" sheetId="4" r:id="rId4"/>
    <sheet name="G1_GA180" sheetId="5" r:id="rId5"/>
    <sheet name="G1_GA270" sheetId="6" r:id="rId6"/>
    <sheet name="G2_GA0" sheetId="7" r:id="rId7"/>
    <sheet name="G2_GA0_annual" sheetId="10" r:id="rId8"/>
    <sheet name="G2_GA90" sheetId="8" r:id="rId9"/>
    <sheet name="G2_GA180" sheetId="9" r:id="rId10"/>
    <sheet name="G2_GA270" sheetId="11" r:id="rId11"/>
    <sheet name="G3_GA0" sheetId="12" r:id="rId12"/>
    <sheet name="G3_GA90" sheetId="13" r:id="rId13"/>
    <sheet name="G3_GA180" sheetId="15" r:id="rId14"/>
    <sheet name="G3_GA270" sheetId="14" r:id="rId15"/>
    <sheet name="G4_GA0" sheetId="16" r:id="rId16"/>
    <sheet name="G4_GA90" sheetId="17" r:id="rId17"/>
    <sheet name="G4_GA180" sheetId="18" r:id="rId18"/>
    <sheet name="G4_GA270"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3" i="1" l="1"/>
  <c r="E84" i="1"/>
  <c r="E85" i="1"/>
  <c r="E86" i="1"/>
  <c r="E82" i="1"/>
  <c r="E78" i="1"/>
  <c r="E79" i="1"/>
  <c r="E80" i="1"/>
  <c r="E81" i="1"/>
  <c r="E77" i="1"/>
  <c r="E73" i="1"/>
  <c r="E74" i="1"/>
  <c r="E75" i="1"/>
  <c r="E76" i="1"/>
  <c r="E72" i="1"/>
  <c r="E68" i="1"/>
  <c r="E69" i="1"/>
  <c r="E70" i="1"/>
  <c r="E71" i="1"/>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6" i="19"/>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6" i="18"/>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6" i="17"/>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6" i="16"/>
  <c r="E67" i="1" s="1"/>
  <c r="E63" i="1"/>
  <c r="E64" i="1"/>
  <c r="E65" i="1"/>
  <c r="E66" i="1"/>
  <c r="E62" i="1"/>
  <c r="E58" i="1"/>
  <c r="E59" i="1"/>
  <c r="E60" i="1"/>
  <c r="E61" i="1"/>
  <c r="E57" i="1"/>
  <c r="E53" i="1"/>
  <c r="E54" i="1"/>
  <c r="E55" i="1"/>
  <c r="E56" i="1"/>
  <c r="E52" i="1"/>
  <c r="E48" i="1"/>
  <c r="E49" i="1"/>
  <c r="E50" i="1"/>
  <c r="E51" i="1"/>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6" i="14"/>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6" i="15"/>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6" i="13"/>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6" i="12"/>
  <c r="E47" i="1"/>
  <c r="E43" i="1"/>
  <c r="E44" i="1"/>
  <c r="E45" i="1"/>
  <c r="E46" i="1"/>
  <c r="E42" i="1"/>
  <c r="E38" i="1"/>
  <c r="E39" i="1"/>
  <c r="E40" i="1"/>
  <c r="E41" i="1"/>
  <c r="E37" i="1"/>
  <c r="E33" i="1"/>
  <c r="E34" i="1"/>
  <c r="E35" i="1"/>
  <c r="E36" i="1"/>
  <c r="E32" i="1"/>
  <c r="E28" i="1"/>
  <c r="E29" i="1"/>
  <c r="E30" i="1"/>
  <c r="E31" i="1"/>
  <c r="E27" i="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6" i="11"/>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6" i="9"/>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6" i="8"/>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6" i="10"/>
  <c r="E3" i="1"/>
  <c r="E4" i="1"/>
  <c r="E5" i="1"/>
  <c r="E6" i="1"/>
  <c r="E2" i="1"/>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6" i="2"/>
  <c r="E23" i="1"/>
  <c r="E24" i="1"/>
  <c r="E25" i="1"/>
  <c r="E26" i="1"/>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6" i="6"/>
  <c r="E22" i="1"/>
  <c r="E18" i="1"/>
  <c r="E19" i="1"/>
  <c r="E20" i="1"/>
  <c r="E21" i="1"/>
  <c r="E17" i="1"/>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6" i="5"/>
  <c r="E13" i="1"/>
  <c r="E14" i="1"/>
  <c r="E15" i="1"/>
  <c r="E16" i="1"/>
  <c r="E12" i="1"/>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6" i="4"/>
  <c r="E8" i="1"/>
  <c r="E9" i="1"/>
  <c r="E10" i="1"/>
  <c r="E11" i="1"/>
  <c r="E7" i="1"/>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6" i="3"/>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6" i="19"/>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6" i="18"/>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6" i="17"/>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6" i="16"/>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6" i="14"/>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6" i="15"/>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6" i="13"/>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6" i="12"/>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6" i="11"/>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6" i="9"/>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6" i="8"/>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6" i="10"/>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6" i="7"/>
  <c r="G15" i="3"/>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6" i="5"/>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6" i="4"/>
  <c r="G7" i="3"/>
  <c r="G8" i="3"/>
  <c r="G9" i="3"/>
  <c r="G10" i="3"/>
  <c r="G11" i="3"/>
  <c r="G12" i="3"/>
  <c r="G13" i="3"/>
  <c r="G14" i="3"/>
  <c r="G16" i="3"/>
  <c r="G17" i="3"/>
  <c r="G18" i="3"/>
  <c r="G19" i="3"/>
  <c r="G20" i="3"/>
  <c r="G21" i="3"/>
  <c r="G22" i="3"/>
  <c r="G23" i="3"/>
  <c r="G24" i="3"/>
  <c r="G25" i="3"/>
  <c r="G26" i="3"/>
  <c r="G27" i="3"/>
  <c r="G28" i="3"/>
  <c r="G29" i="3"/>
  <c r="G30" i="3"/>
  <c r="G31" i="3"/>
  <c r="G32" i="3"/>
  <c r="G33" i="3"/>
  <c r="G34" i="3"/>
  <c r="G35" i="3"/>
  <c r="G36" i="3"/>
  <c r="G37" i="3"/>
  <c r="G38" i="3"/>
  <c r="G39" i="3"/>
  <c r="G40" i="3"/>
  <c r="G41" i="3"/>
  <c r="G6" i="3"/>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6" i="2"/>
</calcChain>
</file>

<file path=xl/sharedStrings.xml><?xml version="1.0" encoding="utf-8"?>
<sst xmlns="http://schemas.openxmlformats.org/spreadsheetml/2006/main" count="362" uniqueCount="70">
  <si>
    <t>Sheet</t>
  </si>
  <si>
    <t>Checked</t>
  </si>
  <si>
    <t>TPS</t>
  </si>
  <si>
    <t>x</t>
  </si>
  <si>
    <t xml:space="preserve">I have checked each sheet's data with comparison to the source data (location at the top of each individual sheet). This includes TPS data, plus gantry specific spot data for each of the four gantries. To the best of my ability, I am happy that they are an accurate representation of the data, save for some differences in rounding. HC, 01/06/2026. </t>
  </si>
  <si>
    <t>G1_GA0</t>
  </si>
  <si>
    <t>G1_GA90</t>
  </si>
  <si>
    <t>G1_GA180</t>
  </si>
  <si>
    <t>G1_GA270</t>
  </si>
  <si>
    <t>G2_GA0</t>
  </si>
  <si>
    <t>G2_GA0_annual</t>
  </si>
  <si>
    <t>G2_GA90</t>
  </si>
  <si>
    <t>G2_GA180</t>
  </si>
  <si>
    <t>G2_GA270</t>
  </si>
  <si>
    <t>G3_GA0</t>
  </si>
  <si>
    <t>G3_GA90</t>
  </si>
  <si>
    <t>G3_GA180</t>
  </si>
  <si>
    <t>G3_GA270</t>
  </si>
  <si>
    <t>G4_GA0</t>
  </si>
  <si>
    <t>G4_GA90</t>
  </si>
  <si>
    <t>G4_GA180</t>
  </si>
  <si>
    <t>G4_GA270</t>
  </si>
  <si>
    <t>TPS spot size without RS</t>
  </si>
  <si>
    <t>C:\Users\KALONGMA\NHS\(Canc) Radiotherapy - PBT Physics Team - PBT Physics Team\Treatment_Planning\Gantry1\Profiles\Fits_G90_RS0_Dist0.xlsx</t>
  </si>
  <si>
    <t>Single Gaussian Fit</t>
  </si>
  <si>
    <t>Energy</t>
  </si>
  <si>
    <t>amplitude</t>
  </si>
  <si>
    <t>x_mean</t>
  </si>
  <si>
    <t>y_mean</t>
  </si>
  <si>
    <t>x_stddev</t>
  </si>
  <si>
    <t>y_stddev</t>
  </si>
  <si>
    <t>ave_stddev</t>
  </si>
  <si>
    <t>theta</t>
  </si>
  <si>
    <t>Gantry 1 GA0 data</t>
  </si>
  <si>
    <t>Gantry 1 Gantry angle 90</t>
  </si>
  <si>
    <t>T:\Routine QA\Annual Checks\G1\2023\Profiles\GA90\Fits_G90_RS0_Dist0_2023.xlsx</t>
  </si>
  <si>
    <t>Gantry 1 Gantry angle 180</t>
  </si>
  <si>
    <t>T:\Routine QA\Annual Checks\G1\2023\Profiles\GA180\Fits_G180_RS0_Dist0_2023.xlsx</t>
  </si>
  <si>
    <t>Gantry 1 GA270</t>
  </si>
  <si>
    <t>T:\Routine QA\Annual Checks\G1\2023\Profiles\GA270\Fits_G270_RS0_Dist0_2023.xlsx</t>
  </si>
  <si>
    <t>Gantry 2 GA0 commissioning data</t>
  </si>
  <si>
    <t>C:\Users\KAWCHUNG\NHS\(Canc) Radiotherapy - PBT Physics Team - PBT Physics Team\QAandCommissioning\Gantry 2\Commissioning\Profiles\Data\20210604 0607 GA0 analysis\Fits_G0_RS0_Dist0.xlsx</t>
  </si>
  <si>
    <t>Gantry 2 GA0 annual data</t>
  </si>
  <si>
    <t>T:\Routine QA\Annual Checks\G2\2022\Profiles\Acquired Profiles\Fits_G0_RS0_Dist0.xlsx</t>
  </si>
  <si>
    <t>Gantry 2 GA90 annual QA data</t>
  </si>
  <si>
    <t>T:\Routine QA\Annual Checks\G2\2022\Profiles\Acquired Profiles\Fits_G90_RS0_Dist0.xlsx</t>
  </si>
  <si>
    <t>Gantry 2 GA180 annual QA data</t>
  </si>
  <si>
    <t>T:\Routine QA\Annual Checks\G2\2022\Profiles\Acquired Profiles\Fits_G180_RS0_Dist0.xlsx</t>
  </si>
  <si>
    <t>Gantry 2 GA270 annual QA data</t>
  </si>
  <si>
    <t>T:\Routine QA\Annual Checks\G2\2022\Profiles\Acquired Profiles\Fits_G270_RS0_Dist0.xlsx</t>
  </si>
  <si>
    <t>Gantry 3 commissioning data</t>
  </si>
  <si>
    <t>C:\Users\KAWCHUNG\NHS\(Canc) Radiotherapy - PBT Physics Team - PBT Physics Team\QAandCommissioning\Gantry 3\Commissioning\Profiles\_G3 COMM PROFILES\Results_2021-12-02_4000\Fits_G0_RS0_Dist0.xlsx</t>
  </si>
  <si>
    <t>C:\Users\KAWCHUNG\NHS\(Canc) Radiotherapy - PBT Physics Team - PBT Physics Team\QAandCommissioning\Gantry 3\Commissioning\Profiles\_G3 COMM PROFILES\Results_2021-12-15_4000\Fits_G90_RS0_Dist0.xlsx</t>
  </si>
  <si>
    <t>C:\Users\KAWCHUNG\NHS\(Canc) Radiotherapy - PBT Physics Team - PBT Physics Team\QAandCommissioning\Gantry 3\Commissioning\Profiles\_G3 COMM PROFILES\Results_2021-12-15_3000\Fits_G180_RS0_Dist0.xlsx</t>
  </si>
  <si>
    <t>C:\Users\KAWCHUNG\NHS\(Canc) Radiotherapy - PBT Physics Team - PBT Physics Team\QAandCommissioning\Gantry 3\Commissioning\Profiles\_G3 COMM PROFILES\Results_2021-12-15_4000\Fits_G270_RS0_Dist0.xlsx</t>
  </si>
  <si>
    <t>Gantry 4 commissioning data</t>
  </si>
  <si>
    <t>C:\Users\KAWCHUNG\NHS\(Canc) Radiotherapy - PBT Physics Team - PBT Physics Team\QAandCommissioning\Gantry 4\Commissioning\Spot Profiles\_GaussianFittingResults\Fits_G0_RS0_Dist0.xlsx</t>
  </si>
  <si>
    <t>C:\Users\KAWCHUNG\NHS\(Canc) Radiotherapy - PBT Physics Team - PBT Physics Team\QAandCommissioning\Gantry 4\Commissioning\Spot Profiles\_GaussianFittingResults\Fits_G90_RS0_Dist0.xlsx</t>
  </si>
  <si>
    <t>C:\Users\KAWCHUNG\NHS\(Canc) Radiotherapy - PBT Physics Team - PBT Physics Team\QAandCommissioning\Gantry 4\Commissioning\Spot Profiles\_GaussianFittingResults\Fits_G180_RS0_Dist0.xlsx</t>
  </si>
  <si>
    <t>C:\Users\KAWCHUNG\NHS\(Canc) Radiotherapy - PBT Physics Team - PBT Physics Team\QAandCommissioning\Gantry 4\Commissioning\Spot Profiles\_GaussianFittingResults\Fits_G270_RS0_Dist0.xlsx</t>
  </si>
  <si>
    <t>tps</t>
  </si>
  <si>
    <t>data_type</t>
  </si>
  <si>
    <t>energy</t>
  </si>
  <si>
    <t>fwhm</t>
  </si>
  <si>
    <t>baseline</t>
  </si>
  <si>
    <t>ave_fwhm</t>
  </si>
  <si>
    <t>ave-fwhm</t>
  </si>
  <si>
    <t>gantry</t>
  </si>
  <si>
    <t>gantry_angle</t>
  </si>
  <si>
    <t>T:\Routine QA\Annual Checks\G1\2023\Profiles\Fits_G0_RS0_Dist0_2023.xlsx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</si>
</sst>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0000"/>
    <numFmt numFmtId="165" formatCode="0.0000000000"/>
    <numFmt numFmtId="166" formatCode="0.00000000000"/>
    <numFmt numFmtId="167" formatCode="0.0000000000000"/>
    <numFmt numFmtId="168" formatCode="0.00000000000000"/>
    <numFmt numFmtId="169" formatCode="0.000000000000000"/>
    <numFmt numFmtId="170" formatCode="0.0000000000000000"/>
    <numFmt numFmtId="171" formatCode="0.00000000000000000"/>
    <numFmt numFmtId="172" formatCode="0.000000000000000000"/>
  </numFmts>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0" fillId="2" borderId="0" xfId="0" applyFill="1"/>
    <xf numFmtId="0" fontId="0" fillId="0" borderId="0" xfId="0" applyAlignment="1">
      <alignment horizontal="center"/>
    </xf>
    <xf numFmtId="0" fontId="0" fillId="2" borderId="0" xfId="0" applyFill="1" applyAlignment="1">
      <alignment horizontal="center"/>
    </xf>
    <xf numFmtId="0" fontId="0" fillId="2" borderId="0" xfId="0" applyFill="1" applyAlignment="1">
      <alignment horizontal="center" vertical="center"/>
    </xf>
    <xf numFmtId="0" fontId="1"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vertical="center"/>
    </xf>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0" fontId="0" fillId="0" borderId="1" xfId="0"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0" xfId="0"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0" xfId="0"/>
  </cellXfs>
  <cellStyles count="1">
    <cellStyle name="Normal" xfId="0" builtinId="0"/>
  </cellStyles>
  <dxfs count="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29686-CFFB-4F70-AB67-49DBB600EB80}" name="Table1" displayName="Table1" ref="I2:J20" totalsRowShown="0" headerRowDxfId="3" dataDxfId="2">
  <autoFilter ref="I2:J20" xr:uid="{A8429686-CFFB-4F70-AB67-49DBB600EB80}"/>
  <tableColumns count="2">
    <tableColumn id="1" xr3:uid="{64A6BE8A-635F-463B-B4ED-CDD306490FA9}" name="Sheet" dataDxfId="1"/>
    <tableColumn id="2" xr3:uid="{94AFC7B2-C2EB-4974-BA09-6021A4799781}" name="Checke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F626-C22F-4335-9500-AE69870A8D67}">
  <dimension ref="A1:U86"/>
  <sheetViews>
    <sheetView workbookViewId="0">
      <selection activeCell="E27" sqref="E27"/>
    </sheetView>
  </sheetViews>
  <sheetFormatPr defaultRowHeight="15" x14ac:dyDescent="0.25"/>
  <cols>
    <col min="1" max="1" width="9.140625" style="10"/>
    <col min="2" max="2" width="10.7109375" style="10" customWidth="1"/>
    <col min="3" max="3" width="12.42578125" style="10" customWidth="1"/>
    <col min="4" max="7" width="9.140625" style="10"/>
    <col min="8" max="8" width="15" style="10" bestFit="1" customWidth="1"/>
    <col min="9" max="9" width="10.7109375" style="10" customWidth="1"/>
    <col min="10" max="14" width="9.140625" style="10"/>
    <col min="15" max="15" width="17" style="10" customWidth="1"/>
    <col min="16" max="16" width="14.7109375" style="10" customWidth="1"/>
    <col min="17" max="16384" width="9.140625" style="10"/>
  </cols>
  <sheetData>
    <row r="1" spans="1:21" x14ac:dyDescent="0.25">
      <c r="A1" s="10" t="s">
        <v>61</v>
      </c>
      <c r="B1" s="10" t="s">
        <v>67</v>
      </c>
      <c r="C1" s="10" t="s">
        <v>68</v>
      </c>
      <c r="D1" s="10" t="s">
        <v>62</v>
      </c>
      <c r="E1" s="10" t="s">
        <v>63</v>
      </c>
    </row>
    <row r="2" spans="1:21" x14ac:dyDescent="0.25">
      <c r="A2" s="10" t="s">
        <v>60</v>
      </c>
      <c r="B2" s="10">
        <v>1</v>
      </c>
      <c r="C2" s="10">
        <v>90</v>
      </c>
      <c r="D2" s="10">
        <v>70</v>
      </c>
      <c r="E2" s="10">
        <f>VLOOKUP(D2,TPS!$A$6:$H$41,8,FALSE)</f>
        <v>13.56249290655512</v>
      </c>
      <c r="I2" s="10" t="s">
        <v>0</v>
      </c>
      <c r="J2" s="10" t="s">
        <v>1</v>
      </c>
      <c r="L2" s="16" t="s">
        <v>4</v>
      </c>
      <c r="M2" s="17"/>
      <c r="N2" s="17"/>
      <c r="O2" s="17"/>
      <c r="P2" s="17"/>
      <c r="Q2" s="17"/>
      <c r="R2" s="17"/>
      <c r="S2" s="17"/>
      <c r="T2" s="17"/>
      <c r="U2" s="18"/>
    </row>
    <row r="3" spans="1:21" x14ac:dyDescent="0.25">
      <c r="A3" s="10" t="s">
        <v>60</v>
      </c>
      <c r="B3" s="10">
        <v>1</v>
      </c>
      <c r="C3" s="10">
        <v>90</v>
      </c>
      <c r="D3" s="10">
        <v>100</v>
      </c>
      <c r="E3" s="10">
        <f>VLOOKUP(D3,TPS!$A$6:$H$41,8,FALSE)</f>
        <v>11.177229487288722</v>
      </c>
      <c r="I3" s="10" t="s">
        <v>2</v>
      </c>
      <c r="J3" s="10" t="s">
        <v>3</v>
      </c>
      <c r="L3" s="19"/>
      <c r="M3" s="20"/>
      <c r="N3" s="20"/>
      <c r="O3" s="20"/>
      <c r="P3" s="20"/>
      <c r="Q3" s="20"/>
      <c r="R3" s="20"/>
      <c r="S3" s="20"/>
      <c r="T3" s="20"/>
      <c r="U3" s="21"/>
    </row>
    <row r="4" spans="1:21" x14ac:dyDescent="0.25">
      <c r="A4" s="10" t="s">
        <v>60</v>
      </c>
      <c r="B4" s="10">
        <v>1</v>
      </c>
      <c r="C4" s="10">
        <v>90</v>
      </c>
      <c r="D4" s="10">
        <v>150</v>
      </c>
      <c r="E4" s="10">
        <f>VLOOKUP(D4,TPS!$A$6:$H$41,8,FALSE)</f>
        <v>9.0818446364090271</v>
      </c>
      <c r="I4" s="10" t="s">
        <v>5</v>
      </c>
      <c r="J4" s="10" t="s">
        <v>3</v>
      </c>
      <c r="L4" s="19"/>
      <c r="M4" s="20"/>
      <c r="N4" s="20"/>
      <c r="O4" s="20"/>
      <c r="P4" s="20"/>
      <c r="Q4" s="20"/>
      <c r="R4" s="20"/>
      <c r="S4" s="20"/>
      <c r="T4" s="20"/>
      <c r="U4" s="21"/>
    </row>
    <row r="5" spans="1:21" x14ac:dyDescent="0.25">
      <c r="A5" s="10" t="s">
        <v>60</v>
      </c>
      <c r="B5" s="10">
        <v>1</v>
      </c>
      <c r="C5" s="10">
        <v>90</v>
      </c>
      <c r="D5" s="10">
        <v>200</v>
      </c>
      <c r="E5" s="10">
        <f>VLOOKUP(D5,TPS!$A$6:$H$41,8,FALSE)</f>
        <v>8.1718856739987373</v>
      </c>
      <c r="I5" s="10" t="s">
        <v>6</v>
      </c>
      <c r="J5" s="10" t="s">
        <v>3</v>
      </c>
      <c r="L5" s="19"/>
      <c r="M5" s="20"/>
      <c r="N5" s="20"/>
      <c r="O5" s="20"/>
      <c r="P5" s="20"/>
      <c r="Q5" s="20"/>
      <c r="R5" s="20"/>
      <c r="S5" s="20"/>
      <c r="T5" s="20"/>
      <c r="U5" s="21"/>
    </row>
    <row r="6" spans="1:21" x14ac:dyDescent="0.25">
      <c r="A6" s="10" t="s">
        <v>60</v>
      </c>
      <c r="B6" s="10">
        <v>1</v>
      </c>
      <c r="C6" s="10">
        <v>90</v>
      </c>
      <c r="D6" s="10">
        <v>240</v>
      </c>
      <c r="E6" s="10">
        <f>VLOOKUP(D6,TPS!$A$6:$H$41,8,FALSE)</f>
        <v>7.409863047013987</v>
      </c>
      <c r="I6" s="10" t="s">
        <v>7</v>
      </c>
      <c r="J6" s="10" t="s">
        <v>3</v>
      </c>
      <c r="L6" s="19"/>
      <c r="M6" s="20"/>
      <c r="N6" s="20"/>
      <c r="O6" s="20"/>
      <c r="P6" s="20"/>
      <c r="Q6" s="20"/>
      <c r="R6" s="20"/>
      <c r="S6" s="20"/>
      <c r="T6" s="20"/>
      <c r="U6" s="21"/>
    </row>
    <row r="7" spans="1:21" x14ac:dyDescent="0.25">
      <c r="A7" s="10" t="s">
        <v>64</v>
      </c>
      <c r="B7" s="10">
        <v>1</v>
      </c>
      <c r="C7" s="10">
        <v>0</v>
      </c>
      <c r="D7" s="10">
        <v>70</v>
      </c>
      <c r="E7" s="10">
        <f>VLOOKUP(D7,G1_GA0!$A$6:$H$41,8,FALSE)</f>
        <v>13.696196252229079</v>
      </c>
      <c r="I7" s="10" t="s">
        <v>8</v>
      </c>
      <c r="J7" s="10" t="s">
        <v>3</v>
      </c>
      <c r="L7" s="19"/>
      <c r="M7" s="20"/>
      <c r="N7" s="20"/>
      <c r="O7" s="20"/>
      <c r="P7" s="20"/>
      <c r="Q7" s="20"/>
      <c r="R7" s="20"/>
      <c r="S7" s="20"/>
      <c r="T7" s="20"/>
      <c r="U7" s="21"/>
    </row>
    <row r="8" spans="1:21" x14ac:dyDescent="0.25">
      <c r="A8" s="10" t="s">
        <v>64</v>
      </c>
      <c r="B8" s="10">
        <v>1</v>
      </c>
      <c r="C8" s="10">
        <v>0</v>
      </c>
      <c r="D8" s="10">
        <v>100</v>
      </c>
      <c r="E8" s="10">
        <f>VLOOKUP(D8,G1_GA0!$A$6:$H$41,8,FALSE)</f>
        <v>11.267367408552071</v>
      </c>
      <c r="I8" s="10" t="s">
        <v>9</v>
      </c>
      <c r="J8" s="10" t="s">
        <v>3</v>
      </c>
      <c r="L8" s="22"/>
      <c r="M8" s="23"/>
      <c r="N8" s="23"/>
      <c r="O8" s="23"/>
      <c r="P8" s="23"/>
      <c r="Q8" s="23"/>
      <c r="R8" s="23"/>
      <c r="S8" s="23"/>
      <c r="T8" s="23"/>
      <c r="U8" s="24"/>
    </row>
    <row r="9" spans="1:21" x14ac:dyDescent="0.25">
      <c r="A9" s="10" t="s">
        <v>64</v>
      </c>
      <c r="B9" s="10">
        <v>1</v>
      </c>
      <c r="C9" s="10">
        <v>0</v>
      </c>
      <c r="D9" s="10">
        <v>150</v>
      </c>
      <c r="E9" s="10">
        <f>VLOOKUP(D9,G1_GA0!$A$6:$H$41,8,FALSE)</f>
        <v>9.2442490317885202</v>
      </c>
      <c r="I9" s="10" t="s">
        <v>10</v>
      </c>
      <c r="J9" s="10" t="s">
        <v>3</v>
      </c>
    </row>
    <row r="10" spans="1:21" x14ac:dyDescent="0.25">
      <c r="A10" s="10" t="s">
        <v>64</v>
      </c>
      <c r="B10" s="10">
        <v>1</v>
      </c>
      <c r="C10" s="10">
        <v>0</v>
      </c>
      <c r="D10" s="10">
        <v>200</v>
      </c>
      <c r="E10" s="10">
        <f>VLOOKUP(D10,G1_GA0!$A$6:$H$41,8,FALSE)</f>
        <v>8.2458698405415376</v>
      </c>
      <c r="I10" s="10" t="s">
        <v>11</v>
      </c>
      <c r="J10" s="10" t="s">
        <v>3</v>
      </c>
    </row>
    <row r="11" spans="1:21" x14ac:dyDescent="0.25">
      <c r="A11" s="10" t="s">
        <v>64</v>
      </c>
      <c r="B11" s="10">
        <v>1</v>
      </c>
      <c r="C11" s="10">
        <v>0</v>
      </c>
      <c r="D11" s="10">
        <v>240</v>
      </c>
      <c r="E11" s="10">
        <f>VLOOKUP(D11,G1_GA0!$A$6:$H$41,8,FALSE)</f>
        <v>7.7620542730718629</v>
      </c>
      <c r="I11" s="10" t="s">
        <v>12</v>
      </c>
      <c r="J11" s="10" t="s">
        <v>3</v>
      </c>
    </row>
    <row r="12" spans="1:21" x14ac:dyDescent="0.25">
      <c r="A12" s="10" t="s">
        <v>64</v>
      </c>
      <c r="B12" s="10">
        <v>1</v>
      </c>
      <c r="C12" s="10">
        <v>90</v>
      </c>
      <c r="D12" s="10">
        <v>70</v>
      </c>
      <c r="E12" s="10">
        <f>VLOOKUP(D12,G1_GA90!$A$6:$H$41,8,FALSE)</f>
        <v>13.903965381108245</v>
      </c>
      <c r="I12" s="10" t="s">
        <v>13</v>
      </c>
      <c r="J12" s="10" t="s">
        <v>3</v>
      </c>
    </row>
    <row r="13" spans="1:21" x14ac:dyDescent="0.25">
      <c r="A13" s="10" t="s">
        <v>64</v>
      </c>
      <c r="B13" s="10">
        <v>1</v>
      </c>
      <c r="C13" s="10">
        <v>90</v>
      </c>
      <c r="D13" s="10">
        <v>100</v>
      </c>
      <c r="E13" s="10">
        <f>VLOOKUP(D13,G1_GA90!$A$6:$H$41,8,FALSE)</f>
        <v>11.15779451408026</v>
      </c>
      <c r="I13" s="10" t="s">
        <v>14</v>
      </c>
      <c r="J13" s="10" t="s">
        <v>3</v>
      </c>
    </row>
    <row r="14" spans="1:21" x14ac:dyDescent="0.25">
      <c r="A14" s="10" t="s">
        <v>64</v>
      </c>
      <c r="B14" s="10">
        <v>1</v>
      </c>
      <c r="C14" s="10">
        <v>90</v>
      </c>
      <c r="D14" s="10">
        <v>150</v>
      </c>
      <c r="E14" s="10">
        <f>VLOOKUP(D14,G1_GA90!$A$6:$H$41,8,FALSE)</f>
        <v>9.3371512810513693</v>
      </c>
      <c r="I14" s="10" t="s">
        <v>15</v>
      </c>
      <c r="J14" s="10" t="s">
        <v>3</v>
      </c>
    </row>
    <row r="15" spans="1:21" x14ac:dyDescent="0.25">
      <c r="A15" s="10" t="s">
        <v>64</v>
      </c>
      <c r="B15" s="10">
        <v>1</v>
      </c>
      <c r="C15" s="10">
        <v>90</v>
      </c>
      <c r="D15" s="10">
        <v>200</v>
      </c>
      <c r="E15" s="10">
        <f>VLOOKUP(D15,G1_GA90!$A$6:$H$41,8,FALSE)</f>
        <v>8.3988572958002763</v>
      </c>
      <c r="I15" s="10" t="s">
        <v>16</v>
      </c>
      <c r="J15" s="10" t="s">
        <v>3</v>
      </c>
    </row>
    <row r="16" spans="1:21" x14ac:dyDescent="0.25">
      <c r="A16" s="10" t="s">
        <v>64</v>
      </c>
      <c r="B16" s="10">
        <v>1</v>
      </c>
      <c r="C16" s="10">
        <v>90</v>
      </c>
      <c r="D16" s="10">
        <v>240</v>
      </c>
      <c r="E16" s="10">
        <f>VLOOKUP(D16,G1_GA90!$A$6:$H$41,8,FALSE)</f>
        <v>7.7800352832904505</v>
      </c>
      <c r="I16" s="10" t="s">
        <v>17</v>
      </c>
      <c r="J16" s="10" t="s">
        <v>3</v>
      </c>
    </row>
    <row r="17" spans="1:10" x14ac:dyDescent="0.25">
      <c r="A17" s="10" t="s">
        <v>64</v>
      </c>
      <c r="B17" s="10">
        <v>1</v>
      </c>
      <c r="C17" s="10">
        <v>180</v>
      </c>
      <c r="D17" s="10">
        <v>70</v>
      </c>
      <c r="E17" s="10">
        <f>VLOOKUP(D17,G1_GA180!$A$6:$H$41,8,FALSE)</f>
        <v>13.915792999885415</v>
      </c>
      <c r="I17" s="10" t="s">
        <v>18</v>
      </c>
      <c r="J17" s="10" t="s">
        <v>3</v>
      </c>
    </row>
    <row r="18" spans="1:10" x14ac:dyDescent="0.25">
      <c r="A18" s="10" t="s">
        <v>64</v>
      </c>
      <c r="B18" s="10">
        <v>1</v>
      </c>
      <c r="C18" s="10">
        <v>180</v>
      </c>
      <c r="D18" s="10">
        <v>100</v>
      </c>
      <c r="E18" s="10">
        <f>VLOOKUP(D18,G1_GA180!$A$6:$H$41,8,FALSE)</f>
        <v>11.366864514579333</v>
      </c>
      <c r="I18" s="10" t="s">
        <v>19</v>
      </c>
      <c r="J18" s="10" t="s">
        <v>3</v>
      </c>
    </row>
    <row r="19" spans="1:10" x14ac:dyDescent="0.25">
      <c r="A19" s="10" t="s">
        <v>64</v>
      </c>
      <c r="B19" s="10">
        <v>1</v>
      </c>
      <c r="C19" s="10">
        <v>180</v>
      </c>
      <c r="D19" s="10">
        <v>150</v>
      </c>
      <c r="E19" s="10">
        <f>VLOOKUP(D19,G1_GA180!$A$6:$H$41,8,FALSE)</f>
        <v>9.3090440530896856</v>
      </c>
      <c r="I19" s="10" t="s">
        <v>20</v>
      </c>
      <c r="J19" s="10" t="s">
        <v>3</v>
      </c>
    </row>
    <row r="20" spans="1:10" x14ac:dyDescent="0.25">
      <c r="A20" s="10" t="s">
        <v>64</v>
      </c>
      <c r="B20" s="10">
        <v>1</v>
      </c>
      <c r="C20" s="10">
        <v>180</v>
      </c>
      <c r="D20" s="10">
        <v>200</v>
      </c>
      <c r="E20" s="10">
        <f>VLOOKUP(D20,G1_GA180!$A$6:$H$41,8,FALSE)</f>
        <v>8.5053221517262596</v>
      </c>
      <c r="I20" s="10" t="s">
        <v>21</v>
      </c>
      <c r="J20" s="10" t="s">
        <v>3</v>
      </c>
    </row>
    <row r="21" spans="1:10" x14ac:dyDescent="0.25">
      <c r="A21" s="10" t="s">
        <v>64</v>
      </c>
      <c r="B21" s="10">
        <v>1</v>
      </c>
      <c r="C21" s="10">
        <v>180</v>
      </c>
      <c r="D21" s="10">
        <v>240</v>
      </c>
      <c r="E21" s="10">
        <f>VLOOKUP(D21,G1_GA180!$A$6:$H$41,8,FALSE)</f>
        <v>7.9821383544645954</v>
      </c>
    </row>
    <row r="22" spans="1:10" x14ac:dyDescent="0.25">
      <c r="A22" s="10" t="s">
        <v>64</v>
      </c>
      <c r="B22" s="10">
        <v>1</v>
      </c>
      <c r="C22" s="10">
        <v>270</v>
      </c>
      <c r="D22" s="10">
        <v>70</v>
      </c>
      <c r="E22" s="10">
        <f>VLOOKUP(D22,G1_GA270!$A$6:$I$41,8,FALSE)</f>
        <v>13.965417362891259</v>
      </c>
    </row>
    <row r="23" spans="1:10" x14ac:dyDescent="0.25">
      <c r="A23" s="10" t="s">
        <v>64</v>
      </c>
      <c r="B23" s="10">
        <v>1</v>
      </c>
      <c r="C23" s="10">
        <v>270</v>
      </c>
      <c r="D23" s="10">
        <v>100</v>
      </c>
      <c r="E23" s="10">
        <f>VLOOKUP(D23,G1_GA270!$A$6:$I$41,8,FALSE)</f>
        <v>11.292831903650741</v>
      </c>
    </row>
    <row r="24" spans="1:10" x14ac:dyDescent="0.25">
      <c r="A24" s="10" t="s">
        <v>64</v>
      </c>
      <c r="B24" s="10">
        <v>1</v>
      </c>
      <c r="C24" s="10">
        <v>270</v>
      </c>
      <c r="D24" s="10">
        <v>150</v>
      </c>
      <c r="E24" s="10">
        <f>VLOOKUP(D24,G1_GA270!$A$6:$I$41,8,FALSE)</f>
        <v>9.3600431451626651</v>
      </c>
    </row>
    <row r="25" spans="1:10" x14ac:dyDescent="0.25">
      <c r="A25" s="10" t="s">
        <v>64</v>
      </c>
      <c r="B25" s="10">
        <v>1</v>
      </c>
      <c r="C25" s="10">
        <v>270</v>
      </c>
      <c r="D25" s="10">
        <v>200</v>
      </c>
      <c r="E25" s="10">
        <f>VLOOKUP(D25,G1_GA270!$A$6:$I$41,8,FALSE)</f>
        <v>8.5463294499148077</v>
      </c>
    </row>
    <row r="26" spans="1:10" x14ac:dyDescent="0.25">
      <c r="A26" s="10" t="s">
        <v>64</v>
      </c>
      <c r="B26" s="10">
        <v>1</v>
      </c>
      <c r="C26" s="10">
        <v>270</v>
      </c>
      <c r="D26" s="10">
        <v>240</v>
      </c>
      <c r="E26" s="10">
        <f>VLOOKUP(D26,G1_GA270!$A$6:$I$41,8,FALSE)</f>
        <v>7.9485055060513909</v>
      </c>
    </row>
    <row r="27" spans="1:10" x14ac:dyDescent="0.25">
      <c r="A27" s="10" t="s">
        <v>64</v>
      </c>
      <c r="B27" s="10">
        <v>2</v>
      </c>
      <c r="C27" s="10">
        <v>0</v>
      </c>
      <c r="D27" s="10">
        <v>70</v>
      </c>
      <c r="E27" s="10">
        <f>VLOOKUP(D27,G2_GA0_annual!$A$6:$H$41,8,FALSE)</f>
        <v>14.229530024460781</v>
      </c>
    </row>
    <row r="28" spans="1:10" x14ac:dyDescent="0.25">
      <c r="A28" s="10" t="s">
        <v>64</v>
      </c>
      <c r="B28" s="10">
        <v>2</v>
      </c>
      <c r="C28" s="10">
        <v>0</v>
      </c>
      <c r="D28" s="10">
        <v>100</v>
      </c>
      <c r="E28" s="10">
        <f>VLOOKUP(D28,G2_GA0_annual!$A$6:$H$41,8,FALSE)</f>
        <v>11.467360556868559</v>
      </c>
    </row>
    <row r="29" spans="1:10" x14ac:dyDescent="0.25">
      <c r="A29" s="10" t="s">
        <v>64</v>
      </c>
      <c r="B29" s="10">
        <v>2</v>
      </c>
      <c r="C29" s="10">
        <v>0</v>
      </c>
      <c r="D29" s="10">
        <v>150</v>
      </c>
      <c r="E29" s="10">
        <f>VLOOKUP(D29,G2_GA0_annual!$A$6:$H$41,8,FALSE)</f>
        <v>9.468165708886092</v>
      </c>
    </row>
    <row r="30" spans="1:10" x14ac:dyDescent="0.25">
      <c r="A30" s="10" t="s">
        <v>64</v>
      </c>
      <c r="B30" s="10">
        <v>2</v>
      </c>
      <c r="C30" s="10">
        <v>0</v>
      </c>
      <c r="D30" s="10">
        <v>200</v>
      </c>
      <c r="E30" s="10">
        <f>VLOOKUP(D30,G2_GA0_annual!$A$6:$H$41,8,FALSE)</f>
        <v>8.7419947676074745</v>
      </c>
    </row>
    <row r="31" spans="1:10" x14ac:dyDescent="0.25">
      <c r="A31" s="10" t="s">
        <v>64</v>
      </c>
      <c r="B31" s="10">
        <v>2</v>
      </c>
      <c r="C31" s="10">
        <v>0</v>
      </c>
      <c r="D31" s="10">
        <v>240</v>
      </c>
      <c r="E31" s="10">
        <f>VLOOKUP(D31,G2_GA0_annual!$A$6:$H$41,8,FALSE)</f>
        <v>8.0884334055742784</v>
      </c>
    </row>
    <row r="32" spans="1:10" x14ac:dyDescent="0.25">
      <c r="A32" s="10" t="s">
        <v>64</v>
      </c>
      <c r="B32" s="10">
        <v>2</v>
      </c>
      <c r="C32" s="10">
        <v>90</v>
      </c>
      <c r="D32" s="10">
        <v>70</v>
      </c>
      <c r="E32" s="10">
        <f>VLOOKUP(D32,G2_GA90!$A$6:$H$41, 8,FALSE)</f>
        <v>14.271999752641827</v>
      </c>
    </row>
    <row r="33" spans="1:5" x14ac:dyDescent="0.25">
      <c r="A33" s="10" t="s">
        <v>64</v>
      </c>
      <c r="B33" s="10">
        <v>2</v>
      </c>
      <c r="C33" s="10">
        <v>90</v>
      </c>
      <c r="D33" s="10">
        <v>100</v>
      </c>
      <c r="E33" s="10">
        <f>VLOOKUP(D33,G2_GA90!$A$6:$H$41, 8,FALSE)</f>
        <v>11.481342318263774</v>
      </c>
    </row>
    <row r="34" spans="1:5" x14ac:dyDescent="0.25">
      <c r="A34" s="10" t="s">
        <v>64</v>
      </c>
      <c r="B34" s="10">
        <v>2</v>
      </c>
      <c r="C34" s="10">
        <v>90</v>
      </c>
      <c r="D34" s="10">
        <v>150</v>
      </c>
      <c r="E34" s="10">
        <f>VLOOKUP(D34,G2_GA90!$A$6:$H$41, 8,FALSE)</f>
        <v>9.5962188412268734</v>
      </c>
    </row>
    <row r="35" spans="1:5" x14ac:dyDescent="0.25">
      <c r="A35" s="10" t="s">
        <v>64</v>
      </c>
      <c r="B35" s="10">
        <v>2</v>
      </c>
      <c r="C35" s="10">
        <v>90</v>
      </c>
      <c r="D35" s="10">
        <v>200</v>
      </c>
      <c r="E35" s="10">
        <f>VLOOKUP(D35,G2_GA90!$A$6:$H$41, 8,FALSE)</f>
        <v>8.7732895365794672</v>
      </c>
    </row>
    <row r="36" spans="1:5" x14ac:dyDescent="0.25">
      <c r="A36" s="10" t="s">
        <v>64</v>
      </c>
      <c r="B36" s="10">
        <v>2</v>
      </c>
      <c r="C36" s="10">
        <v>90</v>
      </c>
      <c r="D36" s="10">
        <v>240</v>
      </c>
      <c r="E36" s="10">
        <f>VLOOKUP(D36,G2_GA90!$A$6:$H$41, 8,FALSE)</f>
        <v>7.2870545287652817</v>
      </c>
    </row>
    <row r="37" spans="1:5" x14ac:dyDescent="0.25">
      <c r="A37" s="10" t="s">
        <v>64</v>
      </c>
      <c r="B37" s="10">
        <v>2</v>
      </c>
      <c r="C37" s="10">
        <v>180</v>
      </c>
      <c r="D37" s="10">
        <v>70</v>
      </c>
      <c r="E37" s="10">
        <f>VLOOKUP(D37,G2_GA180!$A$6:$H$41,8,FALSE)</f>
        <v>14.411943331528057</v>
      </c>
    </row>
    <row r="38" spans="1:5" x14ac:dyDescent="0.25">
      <c r="A38" s="10" t="s">
        <v>64</v>
      </c>
      <c r="B38" s="10">
        <v>2</v>
      </c>
      <c r="C38" s="10">
        <v>180</v>
      </c>
      <c r="D38" s="10">
        <v>100</v>
      </c>
      <c r="E38" s="10">
        <f>VLOOKUP(D38,G2_GA180!$A$6:$H$41,8,FALSE)</f>
        <v>11.553561951470854</v>
      </c>
    </row>
    <row r="39" spans="1:5" x14ac:dyDescent="0.25">
      <c r="A39" s="10" t="s">
        <v>64</v>
      </c>
      <c r="B39" s="10">
        <v>2</v>
      </c>
      <c r="C39" s="10">
        <v>180</v>
      </c>
      <c r="D39" s="10">
        <v>150</v>
      </c>
      <c r="E39" s="10">
        <f>VLOOKUP(D39,G2_GA180!$A$6:$H$41,8,FALSE)</f>
        <v>9.4759020678037071</v>
      </c>
    </row>
    <row r="40" spans="1:5" x14ac:dyDescent="0.25">
      <c r="A40" s="10" t="s">
        <v>64</v>
      </c>
      <c r="B40" s="10">
        <v>2</v>
      </c>
      <c r="C40" s="10">
        <v>180</v>
      </c>
      <c r="D40" s="10">
        <v>200</v>
      </c>
      <c r="E40" s="10">
        <f>VLOOKUP(D40,G2_GA180!$A$6:$H$41,8,FALSE)</f>
        <v>8.608560600109012</v>
      </c>
    </row>
    <row r="41" spans="1:5" x14ac:dyDescent="0.25">
      <c r="A41" s="10" t="s">
        <v>64</v>
      </c>
      <c r="B41" s="10">
        <v>2</v>
      </c>
      <c r="C41" s="10">
        <v>180</v>
      </c>
      <c r="D41" s="10">
        <v>240</v>
      </c>
      <c r="E41" s="10">
        <f>VLOOKUP(D41,G2_GA180!$A$6:$H$41,8,FALSE)</f>
        <v>7.9952966327215229</v>
      </c>
    </row>
    <row r="42" spans="1:5" x14ac:dyDescent="0.25">
      <c r="A42" s="10" t="s">
        <v>64</v>
      </c>
      <c r="B42" s="10">
        <v>2</v>
      </c>
      <c r="C42" s="10">
        <v>270</v>
      </c>
      <c r="D42" s="10">
        <v>70</v>
      </c>
      <c r="E42" s="10">
        <f>VLOOKUP(D42,G2_GA270!$A$6:$H$41,8,FALSE)</f>
        <v>14.366632233869211</v>
      </c>
    </row>
    <row r="43" spans="1:5" x14ac:dyDescent="0.25">
      <c r="A43" s="10" t="s">
        <v>64</v>
      </c>
      <c r="B43" s="10">
        <v>2</v>
      </c>
      <c r="C43" s="10">
        <v>270</v>
      </c>
      <c r="D43" s="10">
        <v>100</v>
      </c>
      <c r="E43" s="10">
        <f>VLOOKUP(D43,G2_GA270!$A$6:$H$41,8,FALSE)</f>
        <v>11.663815815401188</v>
      </c>
    </row>
    <row r="44" spans="1:5" x14ac:dyDescent="0.25">
      <c r="A44" s="10" t="s">
        <v>64</v>
      </c>
      <c r="B44" s="10">
        <v>2</v>
      </c>
      <c r="C44" s="10">
        <v>270</v>
      </c>
      <c r="D44" s="10">
        <v>150</v>
      </c>
      <c r="E44" s="10">
        <f>VLOOKUP(D44,G2_GA270!$A$6:$H$41,8,FALSE)</f>
        <v>9.5684924784107608</v>
      </c>
    </row>
    <row r="45" spans="1:5" x14ac:dyDescent="0.25">
      <c r="A45" s="10" t="s">
        <v>64</v>
      </c>
      <c r="B45" s="10">
        <v>2</v>
      </c>
      <c r="C45" s="10">
        <v>270</v>
      </c>
      <c r="D45" s="10">
        <v>200</v>
      </c>
      <c r="E45" s="10">
        <f>VLOOKUP(D45,G2_GA270!$A$6:$H$41,8,FALSE)</f>
        <v>8.6906778059862617</v>
      </c>
    </row>
    <row r="46" spans="1:5" x14ac:dyDescent="0.25">
      <c r="A46" s="10" t="s">
        <v>64</v>
      </c>
      <c r="B46" s="10">
        <v>2</v>
      </c>
      <c r="C46" s="10">
        <v>270</v>
      </c>
      <c r="D46" s="10">
        <v>240</v>
      </c>
      <c r="E46" s="10">
        <f>VLOOKUP(D46,G2_GA270!$A$6:$H$41,8,FALSE)</f>
        <v>7.2836663738664518</v>
      </c>
    </row>
    <row r="47" spans="1:5" x14ac:dyDescent="0.25">
      <c r="A47" s="10" t="s">
        <v>64</v>
      </c>
      <c r="B47" s="10">
        <v>3</v>
      </c>
      <c r="C47" s="10">
        <v>0</v>
      </c>
      <c r="D47" s="10">
        <v>70</v>
      </c>
      <c r="E47" s="10">
        <f>VLOOKUP(D47,G3_GA0!$A$6:$H$41,8,FALSE)</f>
        <v>14.082967611277027</v>
      </c>
    </row>
    <row r="48" spans="1:5" x14ac:dyDescent="0.25">
      <c r="A48" s="10" t="s">
        <v>64</v>
      </c>
      <c r="B48" s="10">
        <v>3</v>
      </c>
      <c r="C48" s="10">
        <v>0</v>
      </c>
      <c r="D48" s="10">
        <v>100</v>
      </c>
      <c r="E48" s="10">
        <f>VLOOKUP(D48,G3_GA0!$A$6:$H$41,8,FALSE)</f>
        <v>11.559878866336783</v>
      </c>
    </row>
    <row r="49" spans="1:5" x14ac:dyDescent="0.25">
      <c r="A49" s="10" t="s">
        <v>64</v>
      </c>
      <c r="B49" s="10">
        <v>3</v>
      </c>
      <c r="C49" s="10">
        <v>0</v>
      </c>
      <c r="D49" s="10">
        <v>150</v>
      </c>
      <c r="E49" s="10">
        <f>VLOOKUP(D49,G3_GA0!$A$6:$H$41,8,FALSE)</f>
        <v>9.4115709841589545</v>
      </c>
    </row>
    <row r="50" spans="1:5" x14ac:dyDescent="0.25">
      <c r="A50" s="10" t="s">
        <v>64</v>
      </c>
      <c r="B50" s="10">
        <v>3</v>
      </c>
      <c r="C50" s="10">
        <v>0</v>
      </c>
      <c r="D50" s="10">
        <v>200</v>
      </c>
      <c r="E50" s="10">
        <f>VLOOKUP(D50,G3_GA0!$A$6:$H$41,8,FALSE)</f>
        <v>8.2471989962789163</v>
      </c>
    </row>
    <row r="51" spans="1:5" x14ac:dyDescent="0.25">
      <c r="A51" s="10" t="s">
        <v>64</v>
      </c>
      <c r="B51" s="10">
        <v>3</v>
      </c>
      <c r="C51" s="10">
        <v>0</v>
      </c>
      <c r="D51" s="10">
        <v>240</v>
      </c>
      <c r="E51" s="10">
        <f>VLOOKUP(D51,G3_GA0!$A$6:$H$41,8,FALSE)</f>
        <v>7.5387068960650492</v>
      </c>
    </row>
    <row r="52" spans="1:5" x14ac:dyDescent="0.25">
      <c r="A52" s="10" t="s">
        <v>64</v>
      </c>
      <c r="B52" s="10">
        <v>3</v>
      </c>
      <c r="C52" s="10">
        <v>90</v>
      </c>
      <c r="D52" s="10">
        <v>70</v>
      </c>
      <c r="E52" s="10">
        <f>VLOOKUP(D52,G3_GA90!$A$6:$H$41,8,FALSE)</f>
        <v>14.015054433482506</v>
      </c>
    </row>
    <row r="53" spans="1:5" x14ac:dyDescent="0.25">
      <c r="A53" s="10" t="s">
        <v>64</v>
      </c>
      <c r="B53" s="10">
        <v>3</v>
      </c>
      <c r="C53" s="10">
        <v>90</v>
      </c>
      <c r="D53" s="10">
        <v>100</v>
      </c>
      <c r="E53" s="10">
        <f>VLOOKUP(D53,G3_GA90!$A$6:$H$41,8,FALSE)</f>
        <v>11.727005647088324</v>
      </c>
    </row>
    <row r="54" spans="1:5" x14ac:dyDescent="0.25">
      <c r="A54" s="10" t="s">
        <v>64</v>
      </c>
      <c r="B54" s="10">
        <v>3</v>
      </c>
      <c r="C54" s="10">
        <v>90</v>
      </c>
      <c r="D54" s="10">
        <v>150</v>
      </c>
      <c r="E54" s="10">
        <f>VLOOKUP(D54,G3_GA90!$A$6:$H$41,8,FALSE)</f>
        <v>9.4566448172207735</v>
      </c>
    </row>
    <row r="55" spans="1:5" x14ac:dyDescent="0.25">
      <c r="A55" s="10" t="s">
        <v>64</v>
      </c>
      <c r="B55" s="10">
        <v>3</v>
      </c>
      <c r="C55" s="10">
        <v>90</v>
      </c>
      <c r="D55" s="10">
        <v>200</v>
      </c>
      <c r="E55" s="10">
        <f>VLOOKUP(D55,G3_GA90!$A$6:$H$41,8,FALSE)</f>
        <v>8.4099640114233107</v>
      </c>
    </row>
    <row r="56" spans="1:5" x14ac:dyDescent="0.25">
      <c r="A56" s="10" t="s">
        <v>64</v>
      </c>
      <c r="B56" s="10">
        <v>3</v>
      </c>
      <c r="C56" s="10">
        <v>90</v>
      </c>
      <c r="D56" s="10">
        <v>240</v>
      </c>
      <c r="E56" s="10">
        <f>VLOOKUP(D56,G3_GA90!$A$6:$H$41,8,FALSE)</f>
        <v>7.8113649916081718</v>
      </c>
    </row>
    <row r="57" spans="1:5" x14ac:dyDescent="0.25">
      <c r="A57" s="10" t="s">
        <v>64</v>
      </c>
      <c r="B57" s="10">
        <v>3</v>
      </c>
      <c r="C57" s="10">
        <v>180</v>
      </c>
      <c r="D57" s="10">
        <v>70</v>
      </c>
      <c r="E57" s="10">
        <f>VLOOKUP(D57,G3_GA180!$A$6:$H$41,8,FALSE)</f>
        <v>14.04746738047424</v>
      </c>
    </row>
    <row r="58" spans="1:5" x14ac:dyDescent="0.25">
      <c r="A58" s="10" t="s">
        <v>64</v>
      </c>
      <c r="B58" s="10">
        <v>3</v>
      </c>
      <c r="C58" s="10">
        <v>180</v>
      </c>
      <c r="D58" s="10">
        <v>100</v>
      </c>
      <c r="E58" s="10">
        <f>VLOOKUP(D58,G3_GA180!$A$6:$H$41,8,FALSE)</f>
        <v>11.710823162090813</v>
      </c>
    </row>
    <row r="59" spans="1:5" x14ac:dyDescent="0.25">
      <c r="A59" s="10" t="s">
        <v>64</v>
      </c>
      <c r="B59" s="10">
        <v>3</v>
      </c>
      <c r="C59" s="10">
        <v>180</v>
      </c>
      <c r="D59" s="10">
        <v>150</v>
      </c>
      <c r="E59" s="10">
        <f>VLOOKUP(D59,G3_GA180!$A$6:$H$41,8,FALSE)</f>
        <v>9.3600622301715433</v>
      </c>
    </row>
    <row r="60" spans="1:5" x14ac:dyDescent="0.25">
      <c r="A60" s="10" t="s">
        <v>64</v>
      </c>
      <c r="B60" s="10">
        <v>3</v>
      </c>
      <c r="C60" s="10">
        <v>180</v>
      </c>
      <c r="D60" s="10">
        <v>200</v>
      </c>
      <c r="E60" s="10">
        <f>VLOOKUP(D60,G3_GA180!$A$6:$H$41,8,FALSE)</f>
        <v>8.1876174739816854</v>
      </c>
    </row>
    <row r="61" spans="1:5" x14ac:dyDescent="0.25">
      <c r="A61" s="10" t="s">
        <v>64</v>
      </c>
      <c r="B61" s="10">
        <v>3</v>
      </c>
      <c r="C61" s="10">
        <v>180</v>
      </c>
      <c r="D61" s="10">
        <v>240</v>
      </c>
      <c r="E61" s="10">
        <f>VLOOKUP(D61,G3_GA180!$A$6:$H$41,8,FALSE)</f>
        <v>7.4849330320316962</v>
      </c>
    </row>
    <row r="62" spans="1:5" x14ac:dyDescent="0.25">
      <c r="A62" s="10" t="s">
        <v>64</v>
      </c>
      <c r="B62" s="10">
        <v>3</v>
      </c>
      <c r="C62" s="10">
        <v>270</v>
      </c>
      <c r="D62" s="10">
        <v>70</v>
      </c>
      <c r="E62" s="10">
        <f>VLOOKUP(D62,G3_GA270!$A$6:$H$41,8,FALSE)</f>
        <v>13.998878709889269</v>
      </c>
    </row>
    <row r="63" spans="1:5" x14ac:dyDescent="0.25">
      <c r="A63" s="10" t="s">
        <v>64</v>
      </c>
      <c r="B63" s="10">
        <v>3</v>
      </c>
      <c r="C63" s="10">
        <v>270</v>
      </c>
      <c r="D63" s="10">
        <v>100</v>
      </c>
      <c r="E63" s="10">
        <f>VLOOKUP(D63,G3_GA270!$A$6:$H$41,8,FALSE)</f>
        <v>11.76288804674995</v>
      </c>
    </row>
    <row r="64" spans="1:5" x14ac:dyDescent="0.25">
      <c r="A64" s="10" t="s">
        <v>64</v>
      </c>
      <c r="B64" s="10">
        <v>3</v>
      </c>
      <c r="C64" s="10">
        <v>270</v>
      </c>
      <c r="D64" s="10">
        <v>150</v>
      </c>
      <c r="E64" s="10">
        <f>VLOOKUP(D64,G3_GA270!$A$6:$H$41,8,FALSE)</f>
        <v>9.4952146523962231</v>
      </c>
    </row>
    <row r="65" spans="1:5" x14ac:dyDescent="0.25">
      <c r="A65" s="10" t="s">
        <v>64</v>
      </c>
      <c r="B65" s="10">
        <v>3</v>
      </c>
      <c r="C65" s="10">
        <v>270</v>
      </c>
      <c r="D65" s="10">
        <v>200</v>
      </c>
      <c r="E65" s="10">
        <f>VLOOKUP(D65,G3_GA270!$A$6:$H$41,8,FALSE)</f>
        <v>8.6767447086647014</v>
      </c>
    </row>
    <row r="66" spans="1:5" x14ac:dyDescent="0.25">
      <c r="A66" s="10" t="s">
        <v>64</v>
      </c>
      <c r="B66" s="10">
        <v>3</v>
      </c>
      <c r="C66" s="10">
        <v>270</v>
      </c>
      <c r="D66" s="10">
        <v>240</v>
      </c>
      <c r="E66" s="10">
        <f>VLOOKUP(D66,G3_GA270!$A$6:$H$41,8,FALSE)</f>
        <v>7.8870798469428509</v>
      </c>
    </row>
    <row r="67" spans="1:5" x14ac:dyDescent="0.25">
      <c r="A67" s="10" t="s">
        <v>64</v>
      </c>
      <c r="B67" s="10">
        <v>4</v>
      </c>
      <c r="C67" s="10">
        <v>0</v>
      </c>
      <c r="D67" s="10">
        <v>70</v>
      </c>
      <c r="E67" s="10">
        <f>VLOOKUP(D67,G4_GA0!$A$6:$I$41,8,FALSE)</f>
        <v>13.782511783300428</v>
      </c>
    </row>
    <row r="68" spans="1:5" x14ac:dyDescent="0.25">
      <c r="A68" s="10" t="s">
        <v>64</v>
      </c>
      <c r="B68" s="10">
        <v>4</v>
      </c>
      <c r="C68" s="10">
        <v>0</v>
      </c>
      <c r="D68" s="10">
        <v>100</v>
      </c>
      <c r="E68" s="10">
        <f>VLOOKUP(D68,G4_GA0!$A$6:$I$41,8,FALSE)</f>
        <v>11.309176491599924</v>
      </c>
    </row>
    <row r="69" spans="1:5" x14ac:dyDescent="0.25">
      <c r="A69" s="10" t="s">
        <v>64</v>
      </c>
      <c r="B69" s="10">
        <v>4</v>
      </c>
      <c r="C69" s="10">
        <v>0</v>
      </c>
      <c r="D69" s="10">
        <v>150</v>
      </c>
      <c r="E69" s="10">
        <f>VLOOKUP(D69,G4_GA0!$A$6:$I$41,8,FALSE)</f>
        <v>9.3455913896833298</v>
      </c>
    </row>
    <row r="70" spans="1:5" x14ac:dyDescent="0.25">
      <c r="A70" s="10" t="s">
        <v>64</v>
      </c>
      <c r="B70" s="10">
        <v>4</v>
      </c>
      <c r="C70" s="10">
        <v>0</v>
      </c>
      <c r="D70" s="10">
        <v>200</v>
      </c>
      <c r="E70" s="10">
        <f>VLOOKUP(D70,G4_GA0!$A$6:$I$41,8,FALSE)</f>
        <v>8.2749268979435673</v>
      </c>
    </row>
    <row r="71" spans="1:5" x14ac:dyDescent="0.25">
      <c r="A71" s="10" t="s">
        <v>64</v>
      </c>
      <c r="B71" s="10">
        <v>4</v>
      </c>
      <c r="C71" s="10">
        <v>0</v>
      </c>
      <c r="D71" s="10">
        <v>240</v>
      </c>
      <c r="E71" s="10">
        <f>VLOOKUP(D71,G4_GA0!$A$6:$I$41,8,FALSE)</f>
        <v>7.5158041388274128</v>
      </c>
    </row>
    <row r="72" spans="1:5" x14ac:dyDescent="0.25">
      <c r="A72" s="10" t="s">
        <v>64</v>
      </c>
      <c r="B72" s="10">
        <v>4</v>
      </c>
      <c r="C72" s="10">
        <v>90</v>
      </c>
      <c r="D72" s="10">
        <v>70</v>
      </c>
      <c r="E72" s="10">
        <f>VLOOKUP(D72,G4_GA90!$A$6:$H$41,8,FALSE)</f>
        <v>13.827671949611231</v>
      </c>
    </row>
    <row r="73" spans="1:5" x14ac:dyDescent="0.25">
      <c r="A73" s="10" t="s">
        <v>64</v>
      </c>
      <c r="B73" s="10">
        <v>4</v>
      </c>
      <c r="C73" s="10">
        <v>90</v>
      </c>
      <c r="D73" s="10">
        <v>100</v>
      </c>
      <c r="E73" s="10">
        <f>VLOOKUP(D73,G4_GA90!$A$6:$H$41,8,FALSE)</f>
        <v>11.396018180208104</v>
      </c>
    </row>
    <row r="74" spans="1:5" x14ac:dyDescent="0.25">
      <c r="A74" s="10" t="s">
        <v>64</v>
      </c>
      <c r="B74" s="10">
        <v>4</v>
      </c>
      <c r="C74" s="10">
        <v>90</v>
      </c>
      <c r="D74" s="10">
        <v>150</v>
      </c>
      <c r="E74" s="10">
        <f>VLOOKUP(D74,G4_GA90!$A$6:$H$41,8,FALSE)</f>
        <v>9.3451520806469546</v>
      </c>
    </row>
    <row r="75" spans="1:5" x14ac:dyDescent="0.25">
      <c r="A75" s="10" t="s">
        <v>64</v>
      </c>
      <c r="B75" s="10">
        <v>4</v>
      </c>
      <c r="C75" s="10">
        <v>90</v>
      </c>
      <c r="D75" s="10">
        <v>200</v>
      </c>
      <c r="E75" s="10">
        <f>VLOOKUP(D75,G4_GA90!$A$6:$H$41,8,FALSE)</f>
        <v>8.1836060191686979</v>
      </c>
    </row>
    <row r="76" spans="1:5" x14ac:dyDescent="0.25">
      <c r="A76" s="10" t="s">
        <v>64</v>
      </c>
      <c r="B76" s="10">
        <v>4</v>
      </c>
      <c r="C76" s="10">
        <v>90</v>
      </c>
      <c r="D76" s="10">
        <v>240</v>
      </c>
      <c r="E76" s="10">
        <f>VLOOKUP(D76,G4_GA90!$A$6:$H$41,8,FALSE)</f>
        <v>7.7188025246972112</v>
      </c>
    </row>
    <row r="77" spans="1:5" x14ac:dyDescent="0.25">
      <c r="A77" s="10" t="s">
        <v>64</v>
      </c>
      <c r="B77" s="10">
        <v>4</v>
      </c>
      <c r="C77" s="10">
        <v>180</v>
      </c>
      <c r="D77" s="10">
        <v>70</v>
      </c>
      <c r="E77" s="10">
        <f>VLOOKUP(D77,G4_GA180!$A$6:$H$41,8,FALSE)</f>
        <v>13.837746388200383</v>
      </c>
    </row>
    <row r="78" spans="1:5" x14ac:dyDescent="0.25">
      <c r="A78" s="10" t="s">
        <v>64</v>
      </c>
      <c r="B78" s="10">
        <v>4</v>
      </c>
      <c r="C78" s="10">
        <v>180</v>
      </c>
      <c r="D78" s="10">
        <v>100</v>
      </c>
      <c r="E78" s="10">
        <f>VLOOKUP(D78,G4_GA180!$A$6:$H$41,8,FALSE)</f>
        <v>11.337983532072762</v>
      </c>
    </row>
    <row r="79" spans="1:5" x14ac:dyDescent="0.25">
      <c r="A79" s="10" t="s">
        <v>64</v>
      </c>
      <c r="B79" s="10">
        <v>4</v>
      </c>
      <c r="C79" s="10">
        <v>180</v>
      </c>
      <c r="D79" s="10">
        <v>150</v>
      </c>
      <c r="E79" s="10">
        <f>VLOOKUP(D79,G4_GA180!$A$6:$H$41,8,FALSE)</f>
        <v>9.3400513592820893</v>
      </c>
    </row>
    <row r="80" spans="1:5" x14ac:dyDescent="0.25">
      <c r="A80" s="10" t="s">
        <v>64</v>
      </c>
      <c r="B80" s="10">
        <v>4</v>
      </c>
      <c r="C80" s="10">
        <v>180</v>
      </c>
      <c r="D80" s="10">
        <v>200</v>
      </c>
      <c r="E80" s="10">
        <f>VLOOKUP(D80,G4_GA180!$A$6:$H$41,8,FALSE)</f>
        <v>8.3253288981744671</v>
      </c>
    </row>
    <row r="81" spans="1:5" x14ac:dyDescent="0.25">
      <c r="A81" s="10" t="s">
        <v>64</v>
      </c>
      <c r="B81" s="10">
        <v>4</v>
      </c>
      <c r="C81" s="10">
        <v>180</v>
      </c>
      <c r="D81" s="10">
        <v>240</v>
      </c>
      <c r="E81" s="10">
        <f>VLOOKUP(D81,G4_GA180!$A$6:$H$41,8,FALSE)</f>
        <v>7.4852303269890523</v>
      </c>
    </row>
    <row r="82" spans="1:5" x14ac:dyDescent="0.25">
      <c r="A82" s="10" t="s">
        <v>64</v>
      </c>
      <c r="B82" s="10">
        <v>4</v>
      </c>
      <c r="C82" s="10">
        <v>270</v>
      </c>
      <c r="D82" s="10">
        <v>70</v>
      </c>
      <c r="E82" s="10">
        <f>VLOOKUP(D82,G4_GA270!$A$6:$H$41,8,FALSE)</f>
        <v>13.624978553361204</v>
      </c>
    </row>
    <row r="83" spans="1:5" x14ac:dyDescent="0.25">
      <c r="A83" s="10" t="s">
        <v>64</v>
      </c>
      <c r="B83" s="10">
        <v>4</v>
      </c>
      <c r="C83" s="10">
        <v>270</v>
      </c>
      <c r="D83" s="10">
        <v>100</v>
      </c>
      <c r="E83" s="10">
        <f>VLOOKUP(D83,G4_GA270!$A$6:$H$41,8,FALSE)</f>
        <v>11.325514655650634</v>
      </c>
    </row>
    <row r="84" spans="1:5" x14ac:dyDescent="0.25">
      <c r="A84" s="10" t="s">
        <v>64</v>
      </c>
      <c r="B84" s="10">
        <v>4</v>
      </c>
      <c r="C84" s="10">
        <v>270</v>
      </c>
      <c r="D84" s="10">
        <v>150</v>
      </c>
      <c r="E84" s="10">
        <f>VLOOKUP(D84,G4_GA270!$A$6:$H$41,8,FALSE)</f>
        <v>9.4782284064282685</v>
      </c>
    </row>
    <row r="85" spans="1:5" x14ac:dyDescent="0.25">
      <c r="A85" s="10" t="s">
        <v>64</v>
      </c>
      <c r="B85" s="10">
        <v>4</v>
      </c>
      <c r="C85" s="10">
        <v>270</v>
      </c>
      <c r="D85" s="10">
        <v>200</v>
      </c>
      <c r="E85" s="10">
        <f>VLOOKUP(D85,G4_GA270!$A$6:$H$41,8,FALSE)</f>
        <v>8.6489695544456016</v>
      </c>
    </row>
    <row r="86" spans="1:5" x14ac:dyDescent="0.25">
      <c r="A86" s="10" t="s">
        <v>64</v>
      </c>
      <c r="B86" s="10">
        <v>4</v>
      </c>
      <c r="C86" s="10">
        <v>270</v>
      </c>
      <c r="D86" s="10">
        <v>240</v>
      </c>
      <c r="E86" s="10">
        <f>VLOOKUP(D86,G4_GA270!$A$6:$H$41,8,FALSE)</f>
        <v>7.5843797165418847</v>
      </c>
    </row>
  </sheetData>
  <mergeCells count="1">
    <mergeCell ref="L2:U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A80B7-DD68-406A-BD2C-D844CBD88675}">
  <dimension ref="A1:AB41"/>
  <sheetViews>
    <sheetView workbookViewId="0">
      <selection activeCell="H8" sqref="H8"/>
    </sheetView>
  </sheetViews>
  <sheetFormatPr defaultRowHeight="15" x14ac:dyDescent="0.25"/>
  <cols>
    <col min="2" max="2" width="11.85546875" customWidth="1"/>
    <col min="7" max="8" width="12.140625" customWidth="1"/>
    <col min="22" max="26" width="16.42578125" bestFit="1" customWidth="1"/>
    <col min="27" max="27" width="15.7109375" bestFit="1" customWidth="1"/>
    <col min="28" max="28" width="16.42578125" bestFit="1" customWidth="1"/>
  </cols>
  <sheetData>
    <row r="1" spans="1:28" x14ac:dyDescent="0.25">
      <c r="A1" t="s">
        <v>22</v>
      </c>
    </row>
    <row r="2" spans="1:28" x14ac:dyDescent="0.25">
      <c r="A2" t="s">
        <v>23</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1</v>
      </c>
      <c r="C6">
        <v>2.8288041849784701E-2</v>
      </c>
      <c r="D6">
        <v>0.32289538259857958</v>
      </c>
      <c r="E6">
        <v>5.8385602546987752</v>
      </c>
      <c r="F6">
        <v>5.7039868998162211</v>
      </c>
      <c r="G6" s="1">
        <f>AVERAGE(E6:F6)</f>
        <v>5.7712735772574977</v>
      </c>
      <c r="H6" s="1">
        <f>2.35*G6</f>
        <v>13.56249290655512</v>
      </c>
      <c r="I6">
        <v>0</v>
      </c>
      <c r="J6">
        <v>0.91219303731322754</v>
      </c>
      <c r="L6" s="5"/>
      <c r="M6" s="5"/>
      <c r="N6" s="5"/>
      <c r="O6" s="5"/>
      <c r="P6" s="5"/>
      <c r="Q6" s="5"/>
      <c r="R6" s="5"/>
      <c r="S6" s="5"/>
      <c r="V6" s="9"/>
      <c r="W6" s="9"/>
      <c r="X6" s="9"/>
      <c r="Y6" s="9"/>
      <c r="Z6" s="9"/>
      <c r="AA6" s="9"/>
      <c r="AB6" s="9"/>
    </row>
    <row r="7" spans="1:28" x14ac:dyDescent="0.25">
      <c r="A7">
        <v>75</v>
      </c>
      <c r="B7">
        <v>1</v>
      </c>
      <c r="C7">
        <v>0.2129773467622556</v>
      </c>
      <c r="D7">
        <v>0.30027618362813308</v>
      </c>
      <c r="E7">
        <v>5.6284226933617667</v>
      </c>
      <c r="F7">
        <v>5.4421215738436732</v>
      </c>
      <c r="G7" s="1">
        <f t="shared" ref="G7:G41" si="0">AVERAGE(E7:F7)</f>
        <v>5.53527213360272</v>
      </c>
      <c r="H7" s="1">
        <f t="shared" ref="H7:H41" si="1">2.35*G7</f>
        <v>13.007889513966392</v>
      </c>
      <c r="I7">
        <v>0</v>
      </c>
      <c r="J7">
        <v>0.98421544565177577</v>
      </c>
      <c r="L7" s="5"/>
      <c r="M7" s="5"/>
      <c r="N7" s="5"/>
      <c r="O7" s="5"/>
      <c r="P7" s="5"/>
      <c r="Q7" s="5"/>
      <c r="R7" s="5"/>
      <c r="S7" s="5"/>
      <c r="V7" s="9"/>
      <c r="W7" s="9"/>
      <c r="X7" s="9"/>
      <c r="Y7" s="9"/>
      <c r="Z7" s="9"/>
      <c r="AA7" s="9"/>
      <c r="AB7" s="9"/>
    </row>
    <row r="8" spans="1:28" x14ac:dyDescent="0.25">
      <c r="A8">
        <v>80</v>
      </c>
      <c r="B8">
        <v>1</v>
      </c>
      <c r="C8">
        <v>5.0231019997852372E-2</v>
      </c>
      <c r="D8">
        <v>0.55017641530754069</v>
      </c>
      <c r="E8">
        <v>5.4604871673160238</v>
      </c>
      <c r="F8">
        <v>5.2555147974613936</v>
      </c>
      <c r="G8" s="1">
        <f t="shared" si="0"/>
        <v>5.3580009823887087</v>
      </c>
      <c r="H8" s="1">
        <f t="shared" si="1"/>
        <v>12.591302308613466</v>
      </c>
      <c r="I8">
        <v>0</v>
      </c>
      <c r="J8">
        <v>0.99440534089845123</v>
      </c>
      <c r="L8" s="5"/>
      <c r="M8" s="5"/>
      <c r="N8" s="5"/>
      <c r="O8" s="5"/>
      <c r="P8" s="5"/>
      <c r="Q8" s="5"/>
      <c r="R8" s="5"/>
      <c r="S8" s="5"/>
      <c r="V8" s="9"/>
      <c r="W8" s="9"/>
      <c r="X8" s="9"/>
      <c r="Y8" s="9"/>
      <c r="Z8" s="9"/>
      <c r="AA8" s="9"/>
      <c r="AB8" s="9"/>
    </row>
    <row r="9" spans="1:28" x14ac:dyDescent="0.25">
      <c r="A9">
        <v>85</v>
      </c>
      <c r="B9">
        <v>1</v>
      </c>
      <c r="C9">
        <v>9.4418609218090505E-2</v>
      </c>
      <c r="D9">
        <v>0.32010271430038639</v>
      </c>
      <c r="E9">
        <v>5.1857203325996473</v>
      </c>
      <c r="F9">
        <v>5.0012417719041444</v>
      </c>
      <c r="G9" s="1">
        <f t="shared" si="0"/>
        <v>5.0934810522518958</v>
      </c>
      <c r="H9" s="1">
        <f t="shared" si="1"/>
        <v>11.969680472791955</v>
      </c>
      <c r="I9">
        <v>0</v>
      </c>
      <c r="J9">
        <v>0.98648633072955616</v>
      </c>
      <c r="L9" s="5"/>
      <c r="M9" s="5"/>
      <c r="N9" s="5"/>
      <c r="O9" s="5"/>
      <c r="P9" s="5"/>
      <c r="Q9" s="5"/>
      <c r="R9" s="5"/>
      <c r="S9" s="5"/>
      <c r="V9" s="9"/>
      <c r="W9" s="9"/>
      <c r="X9" s="9"/>
      <c r="Y9" s="9"/>
      <c r="Z9" s="9"/>
      <c r="AA9" s="9"/>
      <c r="AB9" s="9"/>
    </row>
    <row r="10" spans="1:28" x14ac:dyDescent="0.25">
      <c r="A10">
        <v>90</v>
      </c>
      <c r="B10">
        <v>1</v>
      </c>
      <c r="C10">
        <v>0.10433473945182201</v>
      </c>
      <c r="D10">
        <v>0.1591497510613929</v>
      </c>
      <c r="E10">
        <v>5.0863498073475162</v>
      </c>
      <c r="F10">
        <v>4.9091870563622244</v>
      </c>
      <c r="G10" s="1">
        <f t="shared" si="0"/>
        <v>4.9977684318548707</v>
      </c>
      <c r="H10" s="1">
        <f t="shared" si="1"/>
        <v>11.744755814858946</v>
      </c>
      <c r="I10">
        <v>0</v>
      </c>
      <c r="J10">
        <v>0.99570621705349993</v>
      </c>
      <c r="L10" s="5"/>
      <c r="M10" s="5"/>
      <c r="N10" s="5"/>
      <c r="O10" s="5"/>
      <c r="P10" s="5"/>
      <c r="Q10" s="5"/>
      <c r="R10" s="5"/>
      <c r="S10" s="5"/>
      <c r="V10" s="9"/>
      <c r="W10" s="9"/>
      <c r="X10" s="9"/>
      <c r="Y10" s="9"/>
      <c r="Z10" s="9"/>
      <c r="AA10" s="9"/>
      <c r="AB10" s="9"/>
    </row>
    <row r="11" spans="1:28" x14ac:dyDescent="0.25">
      <c r="A11">
        <v>95</v>
      </c>
      <c r="B11">
        <v>0.99440372681727263</v>
      </c>
      <c r="C11">
        <v>0.27840101678324691</v>
      </c>
      <c r="D11">
        <v>0.23070678005037601</v>
      </c>
      <c r="E11">
        <v>4.9338889896277269</v>
      </c>
      <c r="F11">
        <v>4.7752006276824979</v>
      </c>
      <c r="G11" s="1">
        <f t="shared" si="0"/>
        <v>4.8545448086551124</v>
      </c>
      <c r="H11" s="1">
        <f t="shared" si="1"/>
        <v>11.408180300339515</v>
      </c>
      <c r="I11">
        <v>0</v>
      </c>
      <c r="J11">
        <v>0.99544484864925176</v>
      </c>
      <c r="L11" s="5"/>
      <c r="M11" s="5"/>
      <c r="N11" s="5"/>
      <c r="O11" s="5"/>
      <c r="P11" s="5"/>
      <c r="Q11" s="5"/>
      <c r="R11" s="5"/>
      <c r="S11" s="5"/>
      <c r="V11" s="9"/>
      <c r="W11" s="9"/>
      <c r="X11" s="9"/>
      <c r="Y11" s="9"/>
      <c r="Z11" s="9"/>
      <c r="AA11" s="9"/>
      <c r="AB11" s="9"/>
    </row>
    <row r="12" spans="1:28" x14ac:dyDescent="0.25">
      <c r="A12">
        <v>100</v>
      </c>
      <c r="B12">
        <v>0.99999999999840072</v>
      </c>
      <c r="C12">
        <v>0.38409536298127439</v>
      </c>
      <c r="D12">
        <v>0.4081742227689667</v>
      </c>
      <c r="E12">
        <v>4.8301233222564726</v>
      </c>
      <c r="F12">
        <v>4.6824124116062684</v>
      </c>
      <c r="G12" s="1">
        <f t="shared" si="0"/>
        <v>4.7562678669313705</v>
      </c>
      <c r="H12" s="1">
        <f t="shared" si="1"/>
        <v>11.177229487288722</v>
      </c>
      <c r="I12">
        <v>0</v>
      </c>
      <c r="J12">
        <v>0.86257913184568358</v>
      </c>
      <c r="L12" s="5"/>
      <c r="M12" s="5"/>
      <c r="N12" s="5"/>
      <c r="O12" s="5"/>
      <c r="P12" s="5"/>
      <c r="Q12" s="5"/>
      <c r="R12" s="5"/>
      <c r="S12" s="5"/>
      <c r="V12" s="9"/>
      <c r="W12" s="9"/>
      <c r="X12" s="9"/>
      <c r="Y12" s="9"/>
      <c r="Z12" s="9"/>
      <c r="AA12" s="9"/>
      <c r="AB12" s="9"/>
    </row>
    <row r="13" spans="1:28" x14ac:dyDescent="0.25">
      <c r="A13">
        <v>105</v>
      </c>
      <c r="B13">
        <v>1</v>
      </c>
      <c r="C13">
        <v>0.181075591492699</v>
      </c>
      <c r="D13">
        <v>0.40347580807711048</v>
      </c>
      <c r="E13">
        <v>4.7020452163631594</v>
      </c>
      <c r="F13">
        <v>4.5795198909289594</v>
      </c>
      <c r="G13" s="1">
        <f t="shared" si="0"/>
        <v>4.6407825536460594</v>
      </c>
      <c r="H13" s="1">
        <f t="shared" si="1"/>
        <v>10.905839001068241</v>
      </c>
      <c r="I13">
        <v>0</v>
      </c>
      <c r="J13">
        <v>0.88678367845777095</v>
      </c>
      <c r="L13" s="5"/>
      <c r="M13" s="5"/>
      <c r="N13" s="5"/>
      <c r="O13" s="5"/>
      <c r="P13" s="5"/>
      <c r="Q13" s="5"/>
      <c r="R13" s="5"/>
      <c r="S13" s="5"/>
      <c r="V13" s="9"/>
      <c r="W13" s="9"/>
      <c r="X13" s="9"/>
      <c r="Y13" s="9"/>
      <c r="Z13" s="9"/>
      <c r="AA13" s="9"/>
      <c r="AB13" s="9"/>
    </row>
    <row r="14" spans="1:28" x14ac:dyDescent="0.25">
      <c r="A14">
        <v>110</v>
      </c>
      <c r="B14">
        <v>0.99999999976309728</v>
      </c>
      <c r="C14">
        <v>0.2671522733035282</v>
      </c>
      <c r="D14">
        <v>0.28288979891632648</v>
      </c>
      <c r="E14">
        <v>4.5742855298189502</v>
      </c>
      <c r="F14">
        <v>4.4813277143538706</v>
      </c>
      <c r="G14" s="1">
        <f t="shared" si="0"/>
        <v>4.5278066220864108</v>
      </c>
      <c r="H14" s="1">
        <f t="shared" si="1"/>
        <v>10.640345561903066</v>
      </c>
      <c r="I14">
        <v>0</v>
      </c>
      <c r="J14">
        <v>0.95667423552392461</v>
      </c>
      <c r="L14" s="5"/>
      <c r="M14" s="5"/>
      <c r="N14" s="5"/>
      <c r="O14" s="5"/>
      <c r="P14" s="5"/>
      <c r="Q14" s="5"/>
      <c r="R14" s="5"/>
      <c r="S14" s="5"/>
      <c r="V14" s="9"/>
      <c r="W14" s="9"/>
      <c r="X14" s="9"/>
      <c r="Y14" s="9"/>
      <c r="Z14" s="9"/>
      <c r="AA14" s="9"/>
      <c r="AB14" s="9"/>
    </row>
    <row r="15" spans="1:28" x14ac:dyDescent="0.25">
      <c r="A15">
        <v>115</v>
      </c>
      <c r="B15">
        <v>1</v>
      </c>
      <c r="C15">
        <v>0.13412496217303599</v>
      </c>
      <c r="D15">
        <v>0.1175660208501991</v>
      </c>
      <c r="E15">
        <v>4.459696766507089</v>
      </c>
      <c r="F15">
        <v>4.3738524679427879</v>
      </c>
      <c r="G15" s="1">
        <f t="shared" si="0"/>
        <v>4.416774617224938</v>
      </c>
      <c r="H15" s="1">
        <f t="shared" si="1"/>
        <v>10.379420350478604</v>
      </c>
      <c r="I15">
        <v>0</v>
      </c>
      <c r="J15">
        <v>0.8467544343195389</v>
      </c>
      <c r="L15" s="5"/>
      <c r="M15" s="5"/>
      <c r="N15" s="5"/>
      <c r="O15" s="5"/>
      <c r="P15" s="5"/>
      <c r="Q15" s="5"/>
      <c r="R15" s="5"/>
      <c r="S15" s="5"/>
      <c r="V15" s="9"/>
      <c r="W15" s="9"/>
      <c r="X15" s="9"/>
      <c r="Y15" s="9"/>
      <c r="Z15" s="9"/>
      <c r="AA15" s="9"/>
      <c r="AB15" s="9"/>
    </row>
    <row r="16" spans="1:28" x14ac:dyDescent="0.25">
      <c r="A16">
        <v>120</v>
      </c>
      <c r="B16">
        <v>1</v>
      </c>
      <c r="C16">
        <v>0.35186611044869198</v>
      </c>
      <c r="D16">
        <v>0.27325611962885232</v>
      </c>
      <c r="E16">
        <v>4.4029736106190924</v>
      </c>
      <c r="F16">
        <v>4.3498750455555726</v>
      </c>
      <c r="G16" s="1">
        <f t="shared" si="0"/>
        <v>4.3764243280873325</v>
      </c>
      <c r="H16" s="1">
        <f t="shared" si="1"/>
        <v>10.284597171005231</v>
      </c>
      <c r="I16">
        <v>0</v>
      </c>
      <c r="J16">
        <v>0.90515592821094903</v>
      </c>
      <c r="L16" s="5"/>
      <c r="M16" s="5"/>
      <c r="N16" s="5"/>
      <c r="O16" s="5"/>
      <c r="P16" s="5"/>
      <c r="Q16" s="5"/>
      <c r="R16" s="5"/>
      <c r="S16" s="5"/>
      <c r="V16" s="9"/>
      <c r="W16" s="9"/>
      <c r="X16" s="9"/>
      <c r="Y16" s="9"/>
      <c r="Z16" s="9"/>
      <c r="AA16" s="9"/>
      <c r="AB16" s="9"/>
    </row>
    <row r="17" spans="1:28" x14ac:dyDescent="0.25">
      <c r="A17">
        <v>125</v>
      </c>
      <c r="B17">
        <v>1</v>
      </c>
      <c r="C17">
        <v>0.1876413344880207</v>
      </c>
      <c r="D17">
        <v>0.35082557388153202</v>
      </c>
      <c r="E17">
        <v>4.273365131856929</v>
      </c>
      <c r="F17">
        <v>4.2569835720484317</v>
      </c>
      <c r="G17" s="1">
        <f t="shared" si="0"/>
        <v>4.2651743519526804</v>
      </c>
      <c r="H17" s="1">
        <f t="shared" si="1"/>
        <v>10.0231597270888</v>
      </c>
      <c r="I17">
        <v>0</v>
      </c>
      <c r="J17">
        <v>0.88132434134310567</v>
      </c>
      <c r="L17" s="5"/>
      <c r="M17" s="5"/>
      <c r="N17" s="5"/>
      <c r="O17" s="5"/>
      <c r="P17" s="5"/>
      <c r="Q17" s="5"/>
      <c r="R17" s="5"/>
      <c r="S17" s="5"/>
      <c r="V17" s="9"/>
      <c r="W17" s="9"/>
      <c r="X17" s="9"/>
      <c r="Y17" s="9"/>
      <c r="Z17" s="9"/>
      <c r="AA17" s="9"/>
      <c r="AB17" s="9"/>
    </row>
    <row r="18" spans="1:28" x14ac:dyDescent="0.25">
      <c r="A18">
        <v>130</v>
      </c>
      <c r="B18">
        <v>1</v>
      </c>
      <c r="C18">
        <v>0.33289757166090422</v>
      </c>
      <c r="D18">
        <v>0.46450358122866842</v>
      </c>
      <c r="E18">
        <v>4.1941238222795816</v>
      </c>
      <c r="F18">
        <v>4.2133444089024286</v>
      </c>
      <c r="G18" s="1">
        <f t="shared" si="0"/>
        <v>4.2037341155910051</v>
      </c>
      <c r="H18" s="1">
        <f t="shared" si="1"/>
        <v>9.8787751716388623</v>
      </c>
      <c r="I18">
        <v>0</v>
      </c>
      <c r="J18">
        <v>0.93839316113916016</v>
      </c>
      <c r="L18" s="5"/>
      <c r="M18" s="5"/>
      <c r="N18" s="5"/>
      <c r="O18" s="5"/>
      <c r="P18" s="5"/>
      <c r="Q18" s="5"/>
      <c r="R18" s="5"/>
      <c r="S18" s="5"/>
      <c r="V18" s="9"/>
      <c r="W18" s="9"/>
      <c r="X18" s="9"/>
      <c r="Y18" s="9"/>
      <c r="Z18" s="9"/>
      <c r="AA18" s="9"/>
      <c r="AB18" s="9"/>
    </row>
    <row r="19" spans="1:28" x14ac:dyDescent="0.25">
      <c r="A19">
        <v>135</v>
      </c>
      <c r="B19">
        <v>1</v>
      </c>
      <c r="C19">
        <v>3.0465184134801079E-2</v>
      </c>
      <c r="D19">
        <v>0.31398823276939369</v>
      </c>
      <c r="E19">
        <v>4.0724088497632076</v>
      </c>
      <c r="F19">
        <v>4.1186516976780432</v>
      </c>
      <c r="G19" s="1">
        <f t="shared" si="0"/>
        <v>4.0955302737206249</v>
      </c>
      <c r="H19" s="1">
        <f t="shared" si="1"/>
        <v>9.6244961432434692</v>
      </c>
      <c r="I19">
        <v>0</v>
      </c>
      <c r="J19">
        <v>0.92364519489910257</v>
      </c>
      <c r="L19" s="5"/>
      <c r="M19" s="5"/>
      <c r="N19" s="5"/>
      <c r="O19" s="5"/>
      <c r="P19" s="5"/>
      <c r="Q19" s="5"/>
      <c r="R19" s="5"/>
      <c r="S19" s="5"/>
      <c r="V19" s="9"/>
      <c r="W19" s="9"/>
      <c r="X19" s="9"/>
      <c r="Y19" s="9"/>
      <c r="Z19" s="9"/>
      <c r="AA19" s="9"/>
      <c r="AB19" s="9"/>
    </row>
    <row r="20" spans="1:28" x14ac:dyDescent="0.25">
      <c r="A20">
        <v>140</v>
      </c>
      <c r="B20">
        <v>1</v>
      </c>
      <c r="C20">
        <v>-1.3046592189822469E-2</v>
      </c>
      <c r="D20">
        <v>0.2685378744885083</v>
      </c>
      <c r="E20">
        <v>4.034139607975785</v>
      </c>
      <c r="F20">
        <v>4.1001142372614447</v>
      </c>
      <c r="G20" s="1">
        <f t="shared" si="0"/>
        <v>4.0671269226186144</v>
      </c>
      <c r="H20" s="1">
        <f t="shared" si="1"/>
        <v>9.5577482681537447</v>
      </c>
      <c r="I20">
        <v>0</v>
      </c>
      <c r="J20">
        <v>0.94313763815901575</v>
      </c>
      <c r="L20" s="5"/>
      <c r="M20" s="5"/>
      <c r="N20" s="5"/>
      <c r="O20" s="5"/>
      <c r="P20" s="5"/>
      <c r="Q20" s="5"/>
      <c r="R20" s="5"/>
      <c r="S20" s="5"/>
      <c r="V20" s="9"/>
      <c r="W20" s="9"/>
      <c r="X20" s="9"/>
      <c r="Y20" s="9"/>
      <c r="Z20" s="9"/>
      <c r="AA20" s="9"/>
      <c r="AB20" s="9"/>
    </row>
    <row r="21" spans="1:28" x14ac:dyDescent="0.25">
      <c r="A21">
        <v>145</v>
      </c>
      <c r="B21">
        <v>1</v>
      </c>
      <c r="C21">
        <v>0.28486988714231248</v>
      </c>
      <c r="D21">
        <v>0.26267895151696058</v>
      </c>
      <c r="E21">
        <v>3.9242191791974381</v>
      </c>
      <c r="F21">
        <v>4.0184697329203072</v>
      </c>
      <c r="G21" s="1">
        <f t="shared" si="0"/>
        <v>3.9713444560588727</v>
      </c>
      <c r="H21" s="1">
        <f t="shared" si="1"/>
        <v>9.3326594717383511</v>
      </c>
      <c r="I21">
        <v>0</v>
      </c>
      <c r="J21">
        <v>0.86460196293434843</v>
      </c>
      <c r="L21" s="5"/>
      <c r="M21" s="5"/>
      <c r="N21" s="5"/>
      <c r="O21" s="5"/>
      <c r="P21" s="5"/>
      <c r="Q21" s="5"/>
      <c r="R21" s="5"/>
      <c r="S21" s="5"/>
      <c r="V21" s="9"/>
      <c r="W21" s="9"/>
      <c r="X21" s="9"/>
      <c r="Y21" s="9"/>
      <c r="Z21" s="9"/>
      <c r="AA21" s="9"/>
      <c r="AB21" s="9"/>
    </row>
    <row r="22" spans="1:28" x14ac:dyDescent="0.25">
      <c r="A22">
        <v>150</v>
      </c>
      <c r="B22">
        <v>1</v>
      </c>
      <c r="C22">
        <v>8.4259080050345297E-2</v>
      </c>
      <c r="D22">
        <v>0.46810696932660623</v>
      </c>
      <c r="E22">
        <v>3.809076684983506</v>
      </c>
      <c r="F22">
        <v>3.9201527928114102</v>
      </c>
      <c r="G22" s="1">
        <f t="shared" si="0"/>
        <v>3.8646147388974583</v>
      </c>
      <c r="H22" s="1">
        <f t="shared" si="1"/>
        <v>9.0818446364090271</v>
      </c>
      <c r="I22">
        <v>0</v>
      </c>
      <c r="J22">
        <v>0.89737387838838956</v>
      </c>
      <c r="L22" s="5"/>
      <c r="M22" s="5"/>
      <c r="N22" s="5"/>
      <c r="O22" s="5"/>
      <c r="P22" s="5"/>
      <c r="Q22" s="5"/>
      <c r="R22" s="5"/>
      <c r="S22" s="5"/>
      <c r="V22" s="9"/>
      <c r="W22" s="9"/>
      <c r="X22" s="9"/>
      <c r="Y22" s="9"/>
      <c r="Z22" s="9"/>
      <c r="AA22" s="9"/>
      <c r="AB22" s="9"/>
    </row>
    <row r="23" spans="1:28" x14ac:dyDescent="0.25">
      <c r="A23">
        <v>155</v>
      </c>
      <c r="B23">
        <v>1</v>
      </c>
      <c r="C23">
        <v>0.15034649218367069</v>
      </c>
      <c r="D23">
        <v>0.39527624823240132</v>
      </c>
      <c r="E23">
        <v>3.7679313616455912</v>
      </c>
      <c r="F23">
        <v>3.899783957001103</v>
      </c>
      <c r="G23" s="1">
        <f t="shared" si="0"/>
        <v>3.8338576593233471</v>
      </c>
      <c r="H23" s="1">
        <f t="shared" si="1"/>
        <v>9.0095654994098666</v>
      </c>
      <c r="I23">
        <v>0</v>
      </c>
      <c r="J23">
        <v>1</v>
      </c>
      <c r="L23" s="5"/>
      <c r="M23" s="5"/>
      <c r="N23" s="5"/>
      <c r="O23" s="5"/>
      <c r="P23" s="5"/>
      <c r="Q23" s="5"/>
      <c r="R23" s="5"/>
      <c r="S23" s="5"/>
      <c r="V23" s="9"/>
      <c r="W23" s="9"/>
      <c r="X23" s="9"/>
      <c r="Y23" s="9"/>
      <c r="Z23" s="9"/>
      <c r="AA23" s="9"/>
      <c r="AB23" s="9"/>
    </row>
    <row r="24" spans="1:28" x14ac:dyDescent="0.25">
      <c r="A24">
        <v>160</v>
      </c>
      <c r="B24">
        <v>1</v>
      </c>
      <c r="C24">
        <v>-0.1013492414712769</v>
      </c>
      <c r="D24">
        <v>0.50357107653665412</v>
      </c>
      <c r="E24">
        <v>3.713768554575954</v>
      </c>
      <c r="F24">
        <v>3.8542446454702031</v>
      </c>
      <c r="G24" s="1">
        <f t="shared" si="0"/>
        <v>3.7840066000230785</v>
      </c>
      <c r="H24" s="1">
        <f t="shared" si="1"/>
        <v>8.892415510054235</v>
      </c>
      <c r="I24">
        <v>0</v>
      </c>
      <c r="J24">
        <v>0.99915913551300606</v>
      </c>
      <c r="L24" s="5"/>
      <c r="M24" s="5"/>
      <c r="N24" s="5"/>
      <c r="O24" s="5"/>
      <c r="P24" s="5"/>
      <c r="Q24" s="5"/>
      <c r="R24" s="5"/>
      <c r="S24" s="5"/>
      <c r="V24" s="9"/>
      <c r="W24" s="9"/>
      <c r="X24" s="9"/>
      <c r="Y24" s="9"/>
      <c r="Z24" s="9"/>
      <c r="AA24" s="9"/>
      <c r="AB24" s="9"/>
    </row>
    <row r="25" spans="1:28" x14ac:dyDescent="0.25">
      <c r="A25">
        <v>165</v>
      </c>
      <c r="B25">
        <v>1</v>
      </c>
      <c r="C25">
        <v>0.16674760567155769</v>
      </c>
      <c r="D25">
        <v>0.4127119387730448</v>
      </c>
      <c r="E25">
        <v>3.6522931085833421</v>
      </c>
      <c r="F25">
        <v>3.7985829025752369</v>
      </c>
      <c r="G25" s="1">
        <f t="shared" si="0"/>
        <v>3.7254380055792895</v>
      </c>
      <c r="H25" s="1">
        <f t="shared" si="1"/>
        <v>8.7547793131113298</v>
      </c>
      <c r="I25">
        <v>0</v>
      </c>
      <c r="J25">
        <v>0.9989644357942209</v>
      </c>
      <c r="L25" s="5"/>
      <c r="M25" s="5"/>
      <c r="N25" s="5"/>
      <c r="O25" s="5"/>
      <c r="P25" s="5"/>
      <c r="Q25" s="5"/>
      <c r="R25" s="5"/>
      <c r="S25" s="5"/>
      <c r="V25" s="9"/>
      <c r="W25" s="9"/>
      <c r="X25" s="9"/>
      <c r="Y25" s="9"/>
      <c r="Z25" s="9"/>
      <c r="AA25" s="9"/>
      <c r="AB25" s="9"/>
    </row>
    <row r="26" spans="1:28" x14ac:dyDescent="0.25">
      <c r="A26">
        <v>170</v>
      </c>
      <c r="B26">
        <v>1</v>
      </c>
      <c r="C26">
        <v>0.19331888930516661</v>
      </c>
      <c r="D26">
        <v>0.40283593428390507</v>
      </c>
      <c r="E26">
        <v>3.6545491714452401</v>
      </c>
      <c r="F26">
        <v>3.7933361882311538</v>
      </c>
      <c r="G26" s="1">
        <f t="shared" si="0"/>
        <v>3.7239426798381969</v>
      </c>
      <c r="H26" s="1">
        <f t="shared" si="1"/>
        <v>8.7512652976197636</v>
      </c>
      <c r="I26">
        <v>0</v>
      </c>
      <c r="J26">
        <v>0.99947720393063344</v>
      </c>
      <c r="L26" s="5"/>
      <c r="M26" s="5"/>
      <c r="N26" s="5"/>
      <c r="O26" s="5"/>
      <c r="P26" s="5"/>
      <c r="Q26" s="5"/>
      <c r="R26" s="5"/>
      <c r="S26" s="5"/>
      <c r="V26" s="9"/>
      <c r="W26" s="9"/>
      <c r="X26" s="9"/>
      <c r="Y26" s="9"/>
      <c r="Z26" s="9"/>
      <c r="AA26" s="9"/>
      <c r="AB26" s="9"/>
    </row>
    <row r="27" spans="1:28" x14ac:dyDescent="0.25">
      <c r="A27">
        <v>175</v>
      </c>
      <c r="B27">
        <v>1</v>
      </c>
      <c r="C27">
        <v>6.4324484920857558E-2</v>
      </c>
      <c r="D27">
        <v>0.1529988267723745</v>
      </c>
      <c r="E27">
        <v>3.630017075773452</v>
      </c>
      <c r="F27">
        <v>3.7629954561514189</v>
      </c>
      <c r="G27" s="1">
        <f t="shared" si="0"/>
        <v>3.6965062659624355</v>
      </c>
      <c r="H27" s="1">
        <f t="shared" si="1"/>
        <v>8.6867897250117245</v>
      </c>
      <c r="I27">
        <v>0</v>
      </c>
      <c r="J27">
        <v>0.99999999719647958</v>
      </c>
      <c r="L27" s="5"/>
      <c r="M27" s="5"/>
      <c r="N27" s="5"/>
      <c r="O27" s="5"/>
      <c r="P27" s="5"/>
      <c r="Q27" s="5"/>
      <c r="R27" s="5"/>
      <c r="S27" s="5"/>
      <c r="V27" s="9"/>
      <c r="W27" s="9"/>
      <c r="X27" s="9"/>
      <c r="Y27" s="9"/>
      <c r="Z27" s="9"/>
      <c r="AA27" s="9"/>
      <c r="AB27" s="9"/>
    </row>
    <row r="28" spans="1:28" x14ac:dyDescent="0.25">
      <c r="A28">
        <v>180</v>
      </c>
      <c r="B28">
        <v>1</v>
      </c>
      <c r="C28">
        <v>-5.6354355663721857E-2</v>
      </c>
      <c r="D28">
        <v>0.18817761739251479</v>
      </c>
      <c r="E28">
        <v>3.584608576394805</v>
      </c>
      <c r="F28">
        <v>3.6987973090019941</v>
      </c>
      <c r="G28" s="1">
        <f t="shared" si="0"/>
        <v>3.6417029426983998</v>
      </c>
      <c r="H28" s="1">
        <f t="shared" si="1"/>
        <v>8.5580019153412401</v>
      </c>
      <c r="I28">
        <v>0</v>
      </c>
      <c r="J28">
        <v>0.99988380344902572</v>
      </c>
      <c r="L28" s="5"/>
      <c r="M28" s="5"/>
      <c r="N28" s="5"/>
      <c r="O28" s="5"/>
      <c r="P28" s="5"/>
      <c r="Q28" s="5"/>
      <c r="R28" s="5"/>
      <c r="S28" s="5"/>
      <c r="V28" s="9"/>
      <c r="W28" s="9"/>
      <c r="X28" s="9"/>
      <c r="Y28" s="9"/>
      <c r="Z28" s="9"/>
      <c r="AA28" s="9"/>
      <c r="AB28" s="9"/>
    </row>
    <row r="29" spans="1:28" x14ac:dyDescent="0.25">
      <c r="A29">
        <v>185</v>
      </c>
      <c r="B29">
        <v>1</v>
      </c>
      <c r="C29">
        <v>1.187405492462499E-2</v>
      </c>
      <c r="D29">
        <v>0.41860084630365801</v>
      </c>
      <c r="E29">
        <v>3.569143143727628</v>
      </c>
      <c r="F29">
        <v>3.6351064951088392</v>
      </c>
      <c r="G29" s="1">
        <f t="shared" si="0"/>
        <v>3.6021248194182336</v>
      </c>
      <c r="H29" s="1">
        <f t="shared" si="1"/>
        <v>8.4649933256328485</v>
      </c>
      <c r="I29">
        <v>0</v>
      </c>
      <c r="J29">
        <v>1</v>
      </c>
      <c r="L29" s="5"/>
      <c r="M29" s="5"/>
      <c r="N29" s="5"/>
      <c r="O29" s="5"/>
      <c r="P29" s="5"/>
      <c r="Q29" s="5"/>
      <c r="R29" s="5"/>
      <c r="S29" s="5"/>
      <c r="V29" s="9"/>
      <c r="W29" s="9"/>
      <c r="X29" s="9"/>
      <c r="Y29" s="9"/>
      <c r="Z29" s="9"/>
      <c r="AA29" s="9"/>
      <c r="AB29" s="9"/>
    </row>
    <row r="30" spans="1:28" x14ac:dyDescent="0.25">
      <c r="A30">
        <v>190</v>
      </c>
      <c r="B30">
        <v>1</v>
      </c>
      <c r="C30">
        <v>-4.6578753988492871E-2</v>
      </c>
      <c r="D30">
        <v>0.45400407116954711</v>
      </c>
      <c r="E30">
        <v>3.5533743715604271</v>
      </c>
      <c r="F30">
        <v>3.563082168139994</v>
      </c>
      <c r="G30" s="1">
        <f t="shared" si="0"/>
        <v>3.5582282698502103</v>
      </c>
      <c r="H30" s="1">
        <f t="shared" si="1"/>
        <v>8.3618364341479943</v>
      </c>
      <c r="I30">
        <v>0</v>
      </c>
      <c r="J30">
        <v>0.99999999168270781</v>
      </c>
      <c r="L30" s="5"/>
      <c r="M30" s="5"/>
      <c r="N30" s="5"/>
      <c r="O30" s="5"/>
      <c r="P30" s="5"/>
      <c r="Q30" s="5"/>
      <c r="R30" s="5"/>
      <c r="S30" s="5"/>
      <c r="V30" s="9"/>
      <c r="W30" s="9"/>
      <c r="X30" s="9"/>
      <c r="Y30" s="9"/>
      <c r="Z30" s="9"/>
      <c r="AA30" s="9"/>
      <c r="AB30" s="9"/>
    </row>
    <row r="31" spans="1:28" x14ac:dyDescent="0.25">
      <c r="A31">
        <v>195</v>
      </c>
      <c r="B31">
        <v>1</v>
      </c>
      <c r="C31">
        <v>-0.1057166329800274</v>
      </c>
      <c r="D31">
        <v>0.30437054770070288</v>
      </c>
      <c r="E31">
        <v>3.513075602416702</v>
      </c>
      <c r="F31">
        <v>3.4808124614621341</v>
      </c>
      <c r="G31" s="1">
        <f t="shared" si="0"/>
        <v>3.4969440319394183</v>
      </c>
      <c r="H31" s="1">
        <f t="shared" si="1"/>
        <v>8.2178184750576335</v>
      </c>
      <c r="I31">
        <v>0</v>
      </c>
      <c r="J31">
        <v>1</v>
      </c>
      <c r="L31" s="5"/>
      <c r="M31" s="5"/>
      <c r="N31" s="5"/>
      <c r="O31" s="5"/>
      <c r="P31" s="5"/>
      <c r="Q31" s="5"/>
      <c r="R31" s="5"/>
      <c r="S31" s="5"/>
      <c r="V31" s="9"/>
      <c r="W31" s="9"/>
      <c r="X31" s="9"/>
      <c r="Y31" s="9"/>
      <c r="Z31" s="9"/>
      <c r="AA31" s="9"/>
      <c r="AB31" s="9"/>
    </row>
    <row r="32" spans="1:28" x14ac:dyDescent="0.25">
      <c r="A32">
        <v>200</v>
      </c>
      <c r="B32">
        <v>0.99999999986394472</v>
      </c>
      <c r="C32">
        <v>0.16017316402180759</v>
      </c>
      <c r="D32">
        <v>0.34578642863531528</v>
      </c>
      <c r="E32">
        <v>3.5092662348453558</v>
      </c>
      <c r="F32">
        <v>3.4455300834514411</v>
      </c>
      <c r="G32" s="1">
        <f t="shared" si="0"/>
        <v>3.4773981591483984</v>
      </c>
      <c r="H32" s="1">
        <f t="shared" si="1"/>
        <v>8.1718856739987373</v>
      </c>
      <c r="I32">
        <v>0</v>
      </c>
      <c r="J32">
        <v>0.99999999999520872</v>
      </c>
      <c r="L32" s="5"/>
      <c r="M32" s="5"/>
      <c r="N32" s="5"/>
      <c r="O32" s="5"/>
      <c r="P32" s="5"/>
      <c r="Q32" s="5"/>
      <c r="R32" s="5"/>
      <c r="S32" s="5"/>
      <c r="V32" s="9"/>
      <c r="W32" s="9"/>
      <c r="X32" s="9"/>
      <c r="Y32" s="9"/>
      <c r="Z32" s="9"/>
      <c r="AA32" s="9"/>
      <c r="AB32" s="9"/>
    </row>
    <row r="33" spans="1:28" x14ac:dyDescent="0.25">
      <c r="A33">
        <v>205</v>
      </c>
      <c r="B33">
        <v>1</v>
      </c>
      <c r="C33">
        <v>-2.2990649519905031E-2</v>
      </c>
      <c r="D33">
        <v>0.14954987268500319</v>
      </c>
      <c r="E33">
        <v>3.4682067059797039</v>
      </c>
      <c r="F33">
        <v>3.388037481114595</v>
      </c>
      <c r="G33" s="1">
        <f t="shared" si="0"/>
        <v>3.4281220935471497</v>
      </c>
      <c r="H33" s="1">
        <f t="shared" si="1"/>
        <v>8.0560869198358027</v>
      </c>
      <c r="I33">
        <v>0</v>
      </c>
      <c r="J33">
        <v>0.99999999936084383</v>
      </c>
      <c r="L33" s="5"/>
      <c r="M33" s="5"/>
      <c r="N33" s="5"/>
      <c r="O33" s="5"/>
      <c r="P33" s="5"/>
      <c r="Q33" s="5"/>
      <c r="R33" s="5"/>
      <c r="S33" s="5"/>
      <c r="V33" s="9"/>
      <c r="W33" s="9"/>
      <c r="X33" s="9"/>
      <c r="Y33" s="9"/>
      <c r="Z33" s="9"/>
      <c r="AA33" s="9"/>
      <c r="AB33" s="9"/>
    </row>
    <row r="34" spans="1:28" x14ac:dyDescent="0.25">
      <c r="A34">
        <v>210</v>
      </c>
      <c r="B34">
        <v>1</v>
      </c>
      <c r="C34">
        <v>-1.182788889565187E-2</v>
      </c>
      <c r="D34">
        <v>0.25473753609229449</v>
      </c>
      <c r="E34">
        <v>3.4326557435398719</v>
      </c>
      <c r="F34">
        <v>3.3545023487137491</v>
      </c>
      <c r="G34" s="1">
        <f t="shared" si="0"/>
        <v>3.3935790461268107</v>
      </c>
      <c r="H34" s="1">
        <f t="shared" si="1"/>
        <v>7.9749107583980052</v>
      </c>
      <c r="I34">
        <v>0</v>
      </c>
      <c r="J34">
        <v>0.9999999999902035</v>
      </c>
      <c r="L34" s="5"/>
      <c r="M34" s="5"/>
      <c r="N34" s="5"/>
      <c r="O34" s="5"/>
      <c r="P34" s="5"/>
      <c r="Q34" s="5"/>
      <c r="R34" s="5"/>
      <c r="S34" s="5"/>
      <c r="V34" s="9"/>
      <c r="W34" s="9"/>
      <c r="X34" s="9"/>
      <c r="Y34" s="9"/>
      <c r="Z34" s="9"/>
      <c r="AA34" s="9"/>
      <c r="AB34" s="9"/>
    </row>
    <row r="35" spans="1:28" x14ac:dyDescent="0.25">
      <c r="A35">
        <v>215</v>
      </c>
      <c r="B35">
        <v>1</v>
      </c>
      <c r="C35">
        <v>-7.1066386640849952E-2</v>
      </c>
      <c r="D35">
        <v>0.34531879344151811</v>
      </c>
      <c r="E35">
        <v>3.38404389390664</v>
      </c>
      <c r="F35">
        <v>3.3164087994340452</v>
      </c>
      <c r="G35" s="1">
        <f t="shared" si="0"/>
        <v>3.3502263466703424</v>
      </c>
      <c r="H35" s="1">
        <f t="shared" si="1"/>
        <v>7.8730319146753045</v>
      </c>
      <c r="I35">
        <v>0</v>
      </c>
      <c r="J35">
        <v>0.99953508174049954</v>
      </c>
      <c r="L35" s="5"/>
      <c r="M35" s="5"/>
      <c r="N35" s="5"/>
      <c r="O35" s="5"/>
      <c r="P35" s="5"/>
      <c r="Q35" s="5"/>
      <c r="R35" s="5"/>
      <c r="S35" s="5"/>
      <c r="V35" s="9"/>
      <c r="W35" s="9"/>
      <c r="X35" s="9"/>
      <c r="Y35" s="9"/>
      <c r="Z35" s="9"/>
      <c r="AA35" s="9"/>
      <c r="AB35" s="9"/>
    </row>
    <row r="36" spans="1:28" x14ac:dyDescent="0.25">
      <c r="A36">
        <v>220</v>
      </c>
      <c r="B36">
        <v>1</v>
      </c>
      <c r="C36">
        <v>-7.4267629141520866E-2</v>
      </c>
      <c r="D36">
        <v>0.4697785870610407</v>
      </c>
      <c r="E36">
        <v>3.3979405171600141</v>
      </c>
      <c r="F36">
        <v>3.3388115008757939</v>
      </c>
      <c r="G36" s="1">
        <f t="shared" si="0"/>
        <v>3.3683760090179042</v>
      </c>
      <c r="H36" s="1">
        <f t="shared" si="1"/>
        <v>7.9156836211920751</v>
      </c>
      <c r="I36">
        <v>0</v>
      </c>
      <c r="J36">
        <v>1</v>
      </c>
      <c r="L36" s="5"/>
      <c r="M36" s="5"/>
      <c r="N36" s="5"/>
      <c r="O36" s="5"/>
      <c r="P36" s="5"/>
      <c r="Q36" s="5"/>
      <c r="R36" s="5"/>
      <c r="S36" s="5"/>
      <c r="V36" s="9"/>
      <c r="W36" s="9"/>
      <c r="X36" s="9"/>
      <c r="Y36" s="9"/>
      <c r="Z36" s="9"/>
      <c r="AA36" s="9"/>
      <c r="AB36" s="9"/>
    </row>
    <row r="37" spans="1:28" x14ac:dyDescent="0.25">
      <c r="A37">
        <v>225</v>
      </c>
      <c r="B37">
        <v>1</v>
      </c>
      <c r="C37">
        <v>7.2405300033163658E-2</v>
      </c>
      <c r="D37">
        <v>0.28963107686028061</v>
      </c>
      <c r="E37">
        <v>3.3376249667744222</v>
      </c>
      <c r="F37">
        <v>3.2930352097744309</v>
      </c>
      <c r="G37" s="1">
        <f t="shared" si="0"/>
        <v>3.3153300882744263</v>
      </c>
      <c r="H37" s="1">
        <f t="shared" si="1"/>
        <v>7.7910257074449021</v>
      </c>
      <c r="I37">
        <v>0</v>
      </c>
      <c r="J37">
        <v>1</v>
      </c>
      <c r="L37" s="5"/>
      <c r="M37" s="5"/>
      <c r="N37" s="5"/>
      <c r="O37" s="5"/>
      <c r="P37" s="5"/>
      <c r="Q37" s="5"/>
      <c r="R37" s="5"/>
      <c r="S37" s="5"/>
      <c r="V37" s="9"/>
      <c r="W37" s="9"/>
      <c r="X37" s="9"/>
      <c r="Y37" s="9"/>
      <c r="Z37" s="9"/>
      <c r="AA37" s="9"/>
      <c r="AB37" s="9"/>
    </row>
    <row r="38" spans="1:28" x14ac:dyDescent="0.25">
      <c r="A38">
        <v>230</v>
      </c>
      <c r="B38">
        <v>1</v>
      </c>
      <c r="C38">
        <v>-8.0196082385503992E-2</v>
      </c>
      <c r="D38">
        <v>0.40967217854842819</v>
      </c>
      <c r="E38">
        <v>3.324492254819321</v>
      </c>
      <c r="F38">
        <v>3.292521893725004</v>
      </c>
      <c r="G38" s="1">
        <f t="shared" si="0"/>
        <v>3.3085070742721623</v>
      </c>
      <c r="H38" s="1">
        <f t="shared" si="1"/>
        <v>7.7749916245395818</v>
      </c>
      <c r="I38">
        <v>0</v>
      </c>
      <c r="J38">
        <v>1</v>
      </c>
      <c r="L38" s="5"/>
      <c r="M38" s="5"/>
      <c r="N38" s="5"/>
      <c r="O38" s="5"/>
      <c r="P38" s="5"/>
      <c r="Q38" s="5"/>
      <c r="R38" s="5"/>
      <c r="S38" s="5"/>
      <c r="V38" s="9"/>
      <c r="W38" s="9"/>
      <c r="X38" s="9"/>
      <c r="Y38" s="9"/>
      <c r="Z38" s="9"/>
      <c r="AA38" s="9"/>
      <c r="AB38" s="9"/>
    </row>
    <row r="39" spans="1:28" x14ac:dyDescent="0.25">
      <c r="A39">
        <v>235</v>
      </c>
      <c r="B39">
        <v>1</v>
      </c>
      <c r="C39">
        <v>8.9832840001077342E-4</v>
      </c>
      <c r="D39">
        <v>0.14072274838315779</v>
      </c>
      <c r="E39">
        <v>3.2791352926277559</v>
      </c>
      <c r="F39">
        <v>3.2543017776870071</v>
      </c>
      <c r="G39" s="1">
        <f t="shared" si="0"/>
        <v>3.2667185351573815</v>
      </c>
      <c r="H39" s="1">
        <f t="shared" si="1"/>
        <v>7.6767885576198465</v>
      </c>
      <c r="I39">
        <v>0</v>
      </c>
      <c r="J39">
        <v>1</v>
      </c>
      <c r="L39" s="5"/>
      <c r="M39" s="5"/>
      <c r="N39" s="5"/>
      <c r="O39" s="5"/>
      <c r="P39" s="5"/>
      <c r="Q39" s="5"/>
      <c r="R39" s="5"/>
      <c r="S39" s="5"/>
      <c r="V39" s="9"/>
      <c r="W39" s="9"/>
      <c r="X39" s="9"/>
      <c r="Y39" s="9"/>
      <c r="Z39" s="9"/>
      <c r="AA39" s="9"/>
      <c r="AB39" s="9"/>
    </row>
    <row r="40" spans="1:28" x14ac:dyDescent="0.25">
      <c r="A40">
        <v>240</v>
      </c>
      <c r="B40">
        <v>1</v>
      </c>
      <c r="C40">
        <v>-6.998881978107746E-2</v>
      </c>
      <c r="D40">
        <v>0.29496554478018661</v>
      </c>
      <c r="E40">
        <v>3.1614507050714482</v>
      </c>
      <c r="F40">
        <v>3.1448157179191791</v>
      </c>
      <c r="G40" s="1">
        <f t="shared" si="0"/>
        <v>3.1531332114953137</v>
      </c>
      <c r="H40" s="1">
        <f t="shared" si="1"/>
        <v>7.409863047013987</v>
      </c>
      <c r="I40">
        <v>0</v>
      </c>
      <c r="J40">
        <v>0.99999999999999989</v>
      </c>
      <c r="L40" s="5"/>
      <c r="M40" s="5"/>
      <c r="N40" s="5"/>
      <c r="O40" s="5"/>
      <c r="P40" s="5"/>
      <c r="Q40" s="5"/>
      <c r="R40" s="5"/>
      <c r="S40" s="5"/>
      <c r="V40" s="9"/>
      <c r="W40" s="9"/>
      <c r="X40" s="9"/>
      <c r="Y40" s="9"/>
      <c r="Z40" s="9"/>
      <c r="AA40" s="9"/>
      <c r="AB40" s="9"/>
    </row>
    <row r="41" spans="1:28" x14ac:dyDescent="0.25">
      <c r="A41">
        <v>245</v>
      </c>
      <c r="B41">
        <v>1</v>
      </c>
      <c r="C41">
        <v>-7.8747841484308728E-3</v>
      </c>
      <c r="D41">
        <v>0.30068562092255441</v>
      </c>
      <c r="E41">
        <v>3.0544853426536651</v>
      </c>
      <c r="F41">
        <v>2.9046043132628432</v>
      </c>
      <c r="G41" s="1">
        <f t="shared" si="0"/>
        <v>2.9795448279582541</v>
      </c>
      <c r="H41" s="1">
        <f t="shared" si="1"/>
        <v>7.0019303457018971</v>
      </c>
      <c r="I41">
        <v>0</v>
      </c>
      <c r="J41">
        <v>0.99999999982034671</v>
      </c>
      <c r="L41" s="5"/>
      <c r="M41" s="5"/>
      <c r="N41" s="5"/>
      <c r="O41" s="5"/>
      <c r="P41" s="5"/>
      <c r="Q41" s="5"/>
      <c r="R41" s="5"/>
      <c r="S41" s="5"/>
      <c r="V41" s="9"/>
      <c r="W41" s="9"/>
      <c r="X41" s="9"/>
      <c r="Y41" s="9"/>
      <c r="Z41" s="9"/>
      <c r="AA41" s="9"/>
      <c r="AB41" s="9"/>
    </row>
  </sheetData>
  <mergeCells count="1">
    <mergeCell ref="B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CE6E-A1FA-4A6B-8599-AA8E22F84831}">
  <dimension ref="A1:J41"/>
  <sheetViews>
    <sheetView workbookViewId="0">
      <selection activeCell="H10" sqref="H10"/>
    </sheetView>
  </sheetViews>
  <sheetFormatPr defaultRowHeight="15" x14ac:dyDescent="0.25"/>
  <cols>
    <col min="7" max="7" width="12.140625" customWidth="1"/>
    <col min="8" max="8" width="12.5703125" customWidth="1"/>
  </cols>
  <sheetData>
    <row r="1" spans="1:10" x14ac:dyDescent="0.25">
      <c r="A1" t="s">
        <v>33</v>
      </c>
    </row>
    <row r="2" spans="1:10" x14ac:dyDescent="0.25">
      <c r="A2" t="s">
        <v>69</v>
      </c>
    </row>
    <row r="4" spans="1:10" x14ac:dyDescent="0.25">
      <c r="B4" s="25" t="s">
        <v>24</v>
      </c>
      <c r="C4" s="25"/>
      <c r="D4" s="25"/>
      <c r="E4" s="25"/>
      <c r="F4" s="25"/>
      <c r="G4" s="25"/>
      <c r="H4" s="25"/>
      <c r="I4" s="25"/>
      <c r="J4" s="25"/>
    </row>
    <row r="5" spans="1:10" x14ac:dyDescent="0.25">
      <c r="A5" t="s">
        <v>25</v>
      </c>
      <c r="B5" t="s">
        <v>26</v>
      </c>
      <c r="C5" t="s">
        <v>27</v>
      </c>
      <c r="D5" t="s">
        <v>28</v>
      </c>
      <c r="E5" t="s">
        <v>29</v>
      </c>
      <c r="F5" t="s">
        <v>30</v>
      </c>
      <c r="G5" s="1" t="s">
        <v>31</v>
      </c>
      <c r="H5" s="1" t="s">
        <v>65</v>
      </c>
      <c r="I5" t="s">
        <v>32</v>
      </c>
      <c r="J5" t="s">
        <v>26</v>
      </c>
    </row>
    <row r="6" spans="1:10" x14ac:dyDescent="0.25">
      <c r="A6">
        <v>70</v>
      </c>
      <c r="B6">
        <v>1</v>
      </c>
      <c r="C6">
        <v>9.964502547497861E-2</v>
      </c>
      <c r="D6">
        <v>0.67425288905895964</v>
      </c>
      <c r="E6">
        <v>5.7891180718636139</v>
      </c>
      <c r="F6">
        <v>5.8672191640760269</v>
      </c>
      <c r="G6" s="1">
        <f>AVERAGE(E6:F6)</f>
        <v>5.8281686179698209</v>
      </c>
      <c r="H6" s="1">
        <f>G6*2.35</f>
        <v>13.696196252229079</v>
      </c>
      <c r="I6">
        <v>0</v>
      </c>
      <c r="J6">
        <v>0.7</v>
      </c>
    </row>
    <row r="7" spans="1:10" x14ac:dyDescent="0.25">
      <c r="A7">
        <v>75</v>
      </c>
      <c r="B7">
        <v>1</v>
      </c>
      <c r="C7">
        <v>6.950155021243444E-2</v>
      </c>
      <c r="D7">
        <v>0.34100039266187537</v>
      </c>
      <c r="E7">
        <v>5.518722175516154</v>
      </c>
      <c r="F7">
        <v>5.5981707753127763</v>
      </c>
      <c r="G7" s="1">
        <f t="shared" ref="G7:G41" si="0">AVERAGE(E7:F7)</f>
        <v>5.5584464754144651</v>
      </c>
      <c r="H7" s="1">
        <f t="shared" ref="H7:H41" si="1">G7*2.35</f>
        <v>13.062349217223993</v>
      </c>
      <c r="I7">
        <v>0</v>
      </c>
      <c r="J7">
        <v>0.95254506633738156</v>
      </c>
    </row>
    <row r="8" spans="1:10" x14ac:dyDescent="0.25">
      <c r="A8">
        <v>80</v>
      </c>
      <c r="B8">
        <v>1</v>
      </c>
      <c r="C8">
        <v>0.12984232806659321</v>
      </c>
      <c r="D8">
        <v>0.41342934864941627</v>
      </c>
      <c r="E8">
        <v>5.3616515458406049</v>
      </c>
      <c r="F8">
        <v>5.4257119316519606</v>
      </c>
      <c r="G8" s="1">
        <f t="shared" si="0"/>
        <v>5.3936817387462828</v>
      </c>
      <c r="H8" s="1">
        <f t="shared" si="1"/>
        <v>12.675152086053766</v>
      </c>
      <c r="I8">
        <v>0</v>
      </c>
      <c r="J8">
        <v>0.99043766940720757</v>
      </c>
    </row>
    <row r="9" spans="1:10" x14ac:dyDescent="0.25">
      <c r="A9">
        <v>85</v>
      </c>
      <c r="B9">
        <v>1</v>
      </c>
      <c r="C9">
        <v>0.31515405197975932</v>
      </c>
      <c r="D9">
        <v>0.39251506611038017</v>
      </c>
      <c r="E9">
        <v>5.1822949452233242</v>
      </c>
      <c r="F9">
        <v>5.2279871417417807</v>
      </c>
      <c r="G9" s="1">
        <f t="shared" si="0"/>
        <v>5.205141043482552</v>
      </c>
      <c r="H9" s="1">
        <f t="shared" si="1"/>
        <v>12.232081452183998</v>
      </c>
      <c r="I9">
        <v>0</v>
      </c>
      <c r="J9">
        <v>0.99196966340828219</v>
      </c>
    </row>
    <row r="10" spans="1:10" x14ac:dyDescent="0.25">
      <c r="A10">
        <v>90</v>
      </c>
      <c r="B10">
        <v>1</v>
      </c>
      <c r="C10">
        <v>0.26922881020093042</v>
      </c>
      <c r="D10">
        <v>0.30932819715813181</v>
      </c>
      <c r="E10">
        <v>5.0835002604849864</v>
      </c>
      <c r="F10">
        <v>5.0993704808176634</v>
      </c>
      <c r="G10" s="1">
        <f t="shared" si="0"/>
        <v>5.0914353706513253</v>
      </c>
      <c r="H10" s="1">
        <f t="shared" si="1"/>
        <v>11.964873121030616</v>
      </c>
      <c r="I10">
        <v>0</v>
      </c>
      <c r="J10">
        <v>0.86663966858121977</v>
      </c>
    </row>
    <row r="11" spans="1:10" x14ac:dyDescent="0.25">
      <c r="A11">
        <v>95</v>
      </c>
      <c r="B11">
        <v>1</v>
      </c>
      <c r="C11">
        <v>7.88972018174047E-2</v>
      </c>
      <c r="D11">
        <v>0.1237543242852952</v>
      </c>
      <c r="E11">
        <v>4.9157879251849002</v>
      </c>
      <c r="F11">
        <v>4.9129171963740967</v>
      </c>
      <c r="G11" s="1">
        <f t="shared" si="0"/>
        <v>4.9143525607794984</v>
      </c>
      <c r="H11" s="1">
        <f t="shared" si="1"/>
        <v>11.548728517831822</v>
      </c>
      <c r="I11">
        <v>0</v>
      </c>
      <c r="J11">
        <v>0.99563249538955967</v>
      </c>
    </row>
    <row r="12" spans="1:10" x14ac:dyDescent="0.25">
      <c r="A12">
        <v>100</v>
      </c>
      <c r="B12">
        <v>1</v>
      </c>
      <c r="C12">
        <v>0.34722644248462919</v>
      </c>
      <c r="D12">
        <v>0.30153373694719132</v>
      </c>
      <c r="E12">
        <v>4.8026135087131108</v>
      </c>
      <c r="F12">
        <v>4.7866353496290772</v>
      </c>
      <c r="G12" s="1">
        <f t="shared" si="0"/>
        <v>4.794624429171094</v>
      </c>
      <c r="H12" s="1">
        <f t="shared" si="1"/>
        <v>11.267367408552071</v>
      </c>
      <c r="I12">
        <v>0</v>
      </c>
      <c r="J12">
        <v>0.85165728478598379</v>
      </c>
    </row>
    <row r="13" spans="1:10" x14ac:dyDescent="0.25">
      <c r="A13">
        <v>105</v>
      </c>
      <c r="B13">
        <v>0.99999999999999933</v>
      </c>
      <c r="C13">
        <v>9.1089997158995378E-2</v>
      </c>
      <c r="D13">
        <v>0.61336450856846791</v>
      </c>
      <c r="E13">
        <v>4.6466074027110613</v>
      </c>
      <c r="F13">
        <v>4.620745906199395</v>
      </c>
      <c r="G13" s="1">
        <f t="shared" si="0"/>
        <v>4.6336766544552281</v>
      </c>
      <c r="H13" s="1">
        <f t="shared" si="1"/>
        <v>10.889140137969786</v>
      </c>
      <c r="I13">
        <v>0</v>
      </c>
      <c r="J13">
        <v>0.8727033432542276</v>
      </c>
    </row>
    <row r="14" spans="1:10" x14ac:dyDescent="0.25">
      <c r="A14">
        <v>110</v>
      </c>
      <c r="B14">
        <v>0.99999999999991729</v>
      </c>
      <c r="C14">
        <v>0.42226136548076448</v>
      </c>
      <c r="D14">
        <v>0.39031627133804092</v>
      </c>
      <c r="E14">
        <v>4.6009806519703984</v>
      </c>
      <c r="F14">
        <v>4.5726596823315644</v>
      </c>
      <c r="G14" s="1">
        <f t="shared" si="0"/>
        <v>4.5868201671509814</v>
      </c>
      <c r="H14" s="1">
        <f t="shared" si="1"/>
        <v>10.779027392804807</v>
      </c>
      <c r="I14">
        <v>0</v>
      </c>
      <c r="J14">
        <v>0.86478500771757161</v>
      </c>
    </row>
    <row r="15" spans="1:10" x14ac:dyDescent="0.25">
      <c r="A15">
        <v>115</v>
      </c>
      <c r="B15">
        <v>0.99999999749323942</v>
      </c>
      <c r="C15">
        <v>0.1054952641237378</v>
      </c>
      <c r="D15">
        <v>0.2642095024927622</v>
      </c>
      <c r="E15">
        <v>4.4624789228858956</v>
      </c>
      <c r="F15">
        <v>4.4265906688415253</v>
      </c>
      <c r="G15" s="1">
        <f>AVERAGE(E15:F15)</f>
        <v>4.44453479586371</v>
      </c>
      <c r="H15" s="1">
        <f t="shared" si="1"/>
        <v>10.444656770279719</v>
      </c>
      <c r="I15">
        <v>0</v>
      </c>
      <c r="J15">
        <v>0.87170812271490095</v>
      </c>
    </row>
    <row r="16" spans="1:10" x14ac:dyDescent="0.25">
      <c r="A16">
        <v>120</v>
      </c>
      <c r="B16">
        <v>1</v>
      </c>
      <c r="C16">
        <v>0.38229117351871739</v>
      </c>
      <c r="D16">
        <v>0.35201372261541503</v>
      </c>
      <c r="E16">
        <v>4.3475616599876767</v>
      </c>
      <c r="F16">
        <v>4.2993337811328018</v>
      </c>
      <c r="G16" s="1">
        <f t="shared" si="0"/>
        <v>4.3234477205602388</v>
      </c>
      <c r="H16" s="1">
        <f t="shared" si="1"/>
        <v>10.160102143316562</v>
      </c>
      <c r="I16">
        <v>0</v>
      </c>
      <c r="J16">
        <v>0.83376592003060701</v>
      </c>
    </row>
    <row r="17" spans="1:10" x14ac:dyDescent="0.25">
      <c r="A17">
        <v>125</v>
      </c>
      <c r="B17">
        <v>1</v>
      </c>
      <c r="C17">
        <v>0.44307375856014242</v>
      </c>
      <c r="D17">
        <v>0.17445461243392729</v>
      </c>
      <c r="E17">
        <v>4.3243341267932198</v>
      </c>
      <c r="F17">
        <v>4.26484866419199</v>
      </c>
      <c r="G17" s="1">
        <f t="shared" si="0"/>
        <v>4.2945913954926045</v>
      </c>
      <c r="H17" s="1">
        <f t="shared" si="1"/>
        <v>10.09228977940762</v>
      </c>
      <c r="I17">
        <v>0</v>
      </c>
      <c r="J17">
        <v>0.86216301305379117</v>
      </c>
    </row>
    <row r="18" spans="1:10" x14ac:dyDescent="0.25">
      <c r="A18">
        <v>130</v>
      </c>
      <c r="B18">
        <v>1</v>
      </c>
      <c r="C18">
        <v>0.1749003549927827</v>
      </c>
      <c r="D18">
        <v>0.72837966899361362</v>
      </c>
      <c r="E18">
        <v>4.2657243060112462</v>
      </c>
      <c r="F18">
        <v>4.1891071746111024</v>
      </c>
      <c r="G18" s="1">
        <f t="shared" si="0"/>
        <v>4.2274157403111747</v>
      </c>
      <c r="H18" s="1">
        <f t="shared" si="1"/>
        <v>9.9344269897312607</v>
      </c>
      <c r="I18">
        <v>0</v>
      </c>
      <c r="J18">
        <v>0.93521803949128268</v>
      </c>
    </row>
    <row r="19" spans="1:10" x14ac:dyDescent="0.25">
      <c r="A19">
        <v>135</v>
      </c>
      <c r="B19">
        <v>1</v>
      </c>
      <c r="C19">
        <v>0.23663170504826381</v>
      </c>
      <c r="D19">
        <v>0.1678119167439851</v>
      </c>
      <c r="E19">
        <v>4.1961149974788592</v>
      </c>
      <c r="F19">
        <v>4.1068389928758569</v>
      </c>
      <c r="G19" s="1">
        <f t="shared" si="0"/>
        <v>4.151476995177358</v>
      </c>
      <c r="H19" s="1">
        <f t="shared" si="1"/>
        <v>9.7559709386667919</v>
      </c>
      <c r="I19">
        <v>0</v>
      </c>
      <c r="J19">
        <v>0.87504036329356882</v>
      </c>
    </row>
    <row r="20" spans="1:10" x14ac:dyDescent="0.25">
      <c r="A20">
        <v>140</v>
      </c>
      <c r="B20">
        <v>1</v>
      </c>
      <c r="C20">
        <v>2.0382035733935419E-2</v>
      </c>
      <c r="D20">
        <v>5.0146435075689992E-2</v>
      </c>
      <c r="E20">
        <v>4.0921155509909886</v>
      </c>
      <c r="F20">
        <v>3.9819378108940202</v>
      </c>
      <c r="G20" s="1">
        <f t="shared" si="0"/>
        <v>4.0370266809425042</v>
      </c>
      <c r="H20" s="1">
        <f t="shared" si="1"/>
        <v>9.4870127002148852</v>
      </c>
      <c r="I20">
        <v>0</v>
      </c>
      <c r="J20">
        <v>1</v>
      </c>
    </row>
    <row r="21" spans="1:10" x14ac:dyDescent="0.25">
      <c r="A21">
        <v>145</v>
      </c>
      <c r="B21">
        <v>1</v>
      </c>
      <c r="C21">
        <v>0.1612046881448429</v>
      </c>
      <c r="D21">
        <v>6.5580014608909096E-2</v>
      </c>
      <c r="E21">
        <v>4.040032324538859</v>
      </c>
      <c r="F21">
        <v>3.9134324630632551</v>
      </c>
      <c r="G21" s="1">
        <f t="shared" si="0"/>
        <v>3.9767323938010568</v>
      </c>
      <c r="H21" s="1">
        <f t="shared" si="1"/>
        <v>9.3453211254324842</v>
      </c>
      <c r="I21">
        <v>0</v>
      </c>
      <c r="J21">
        <v>0.99942139726302748</v>
      </c>
    </row>
    <row r="22" spans="1:10" x14ac:dyDescent="0.25">
      <c r="A22">
        <v>150</v>
      </c>
      <c r="B22">
        <v>1</v>
      </c>
      <c r="C22">
        <v>0.1678233979072748</v>
      </c>
      <c r="D22">
        <v>0.17395035392691779</v>
      </c>
      <c r="E22">
        <v>4.006938925661621</v>
      </c>
      <c r="F22">
        <v>3.8605070588392478</v>
      </c>
      <c r="G22" s="1">
        <f t="shared" si="0"/>
        <v>3.9337229922504342</v>
      </c>
      <c r="H22" s="1">
        <f t="shared" si="1"/>
        <v>9.2442490317885202</v>
      </c>
      <c r="I22">
        <v>0</v>
      </c>
      <c r="J22">
        <v>0.99999999967252595</v>
      </c>
    </row>
    <row r="23" spans="1:10" x14ac:dyDescent="0.25">
      <c r="A23">
        <v>155</v>
      </c>
      <c r="B23">
        <v>1</v>
      </c>
      <c r="C23">
        <v>-3.6872424340866801E-3</v>
      </c>
      <c r="D23">
        <v>0.53800263033575946</v>
      </c>
      <c r="E23">
        <v>3.974060244077795</v>
      </c>
      <c r="F23">
        <v>3.8036736724498441</v>
      </c>
      <c r="G23" s="1">
        <f t="shared" si="0"/>
        <v>3.8888669582638196</v>
      </c>
      <c r="H23" s="1">
        <f t="shared" si="1"/>
        <v>9.1388373519199764</v>
      </c>
      <c r="I23">
        <v>0</v>
      </c>
      <c r="J23">
        <v>0.97706242059942305</v>
      </c>
    </row>
    <row r="24" spans="1:10" x14ac:dyDescent="0.25">
      <c r="A24">
        <v>160</v>
      </c>
      <c r="B24">
        <v>1</v>
      </c>
      <c r="C24">
        <v>0.19997471753311899</v>
      </c>
      <c r="D24">
        <v>0.19446925591176531</v>
      </c>
      <c r="E24">
        <v>3.9583348327008121</v>
      </c>
      <c r="F24">
        <v>3.770862165192427</v>
      </c>
      <c r="G24" s="1">
        <f t="shared" si="0"/>
        <v>3.8645984989466196</v>
      </c>
      <c r="H24" s="1">
        <f t="shared" si="1"/>
        <v>9.0818064725245566</v>
      </c>
      <c r="I24">
        <v>0</v>
      </c>
      <c r="J24">
        <v>0.99999978593717465</v>
      </c>
    </row>
    <row r="25" spans="1:10" x14ac:dyDescent="0.25">
      <c r="A25">
        <v>165</v>
      </c>
      <c r="B25">
        <v>1</v>
      </c>
      <c r="C25">
        <v>0.1205777879441811</v>
      </c>
      <c r="D25">
        <v>0.36720609372279728</v>
      </c>
      <c r="E25">
        <v>3.8765614313187782</v>
      </c>
      <c r="F25">
        <v>3.6906931525681039</v>
      </c>
      <c r="G25" s="1">
        <f t="shared" si="0"/>
        <v>3.7836272919434411</v>
      </c>
      <c r="H25" s="1">
        <f t="shared" si="1"/>
        <v>8.8915241360670869</v>
      </c>
      <c r="I25">
        <v>0</v>
      </c>
      <c r="J25">
        <v>0.92473090234215494</v>
      </c>
    </row>
    <row r="26" spans="1:10" x14ac:dyDescent="0.25">
      <c r="A26">
        <v>170</v>
      </c>
      <c r="B26">
        <v>1</v>
      </c>
      <c r="C26">
        <v>0.25843247843133682</v>
      </c>
      <c r="D26">
        <v>0.44747041793318032</v>
      </c>
      <c r="E26">
        <v>3.816926238211158</v>
      </c>
      <c r="F26">
        <v>3.636866780472896</v>
      </c>
      <c r="G26" s="1">
        <f t="shared" si="0"/>
        <v>3.7268965093420272</v>
      </c>
      <c r="H26" s="1">
        <f t="shared" si="1"/>
        <v>8.7582067969537647</v>
      </c>
      <c r="I26">
        <v>0</v>
      </c>
      <c r="J26">
        <v>0.99999999999999956</v>
      </c>
    </row>
    <row r="27" spans="1:10" x14ac:dyDescent="0.25">
      <c r="A27">
        <v>175</v>
      </c>
      <c r="B27">
        <v>1</v>
      </c>
      <c r="C27">
        <v>0.12849703766895951</v>
      </c>
      <c r="D27">
        <v>0.195031107583927</v>
      </c>
      <c r="E27">
        <v>3.7587852118033198</v>
      </c>
      <c r="F27">
        <v>3.5934000828574009</v>
      </c>
      <c r="G27" s="1">
        <f t="shared" si="0"/>
        <v>3.6760926473303606</v>
      </c>
      <c r="H27" s="1">
        <f t="shared" si="1"/>
        <v>8.6388177212263475</v>
      </c>
      <c r="I27">
        <v>0</v>
      </c>
      <c r="J27">
        <v>0.99999999999999978</v>
      </c>
    </row>
    <row r="28" spans="1:10" x14ac:dyDescent="0.25">
      <c r="A28">
        <v>180</v>
      </c>
      <c r="B28">
        <v>1</v>
      </c>
      <c r="C28">
        <v>0.24318234637753941</v>
      </c>
      <c r="D28">
        <v>0.4652035194905505</v>
      </c>
      <c r="E28">
        <v>3.7119510415281209</v>
      </c>
      <c r="F28">
        <v>3.5639934121272869</v>
      </c>
      <c r="G28" s="1">
        <f t="shared" si="0"/>
        <v>3.6379722268277037</v>
      </c>
      <c r="H28" s="1">
        <f t="shared" si="1"/>
        <v>8.549234733045104</v>
      </c>
      <c r="I28">
        <v>0</v>
      </c>
      <c r="J28">
        <v>0.99999999998797673</v>
      </c>
    </row>
    <row r="29" spans="1:10" x14ac:dyDescent="0.25">
      <c r="A29">
        <v>185</v>
      </c>
      <c r="B29">
        <v>1</v>
      </c>
      <c r="C29">
        <v>9.7074502135407151E-2</v>
      </c>
      <c r="D29">
        <v>0.23682515337515231</v>
      </c>
      <c r="E29">
        <v>3.7072405676696492</v>
      </c>
      <c r="F29">
        <v>3.578941610297969</v>
      </c>
      <c r="G29" s="1">
        <f t="shared" si="0"/>
        <v>3.6430910889838088</v>
      </c>
      <c r="H29" s="1">
        <f t="shared" si="1"/>
        <v>8.5612640591119504</v>
      </c>
      <c r="I29">
        <v>0</v>
      </c>
      <c r="J29">
        <v>0.94207796328647142</v>
      </c>
    </row>
    <row r="30" spans="1:10" x14ac:dyDescent="0.25">
      <c r="A30">
        <v>190</v>
      </c>
      <c r="B30">
        <v>1</v>
      </c>
      <c r="C30">
        <v>0.1084535901480813</v>
      </c>
      <c r="D30">
        <v>0.28617228796505623</v>
      </c>
      <c r="E30">
        <v>3.6537561156828011</v>
      </c>
      <c r="F30">
        <v>3.5502792332705759</v>
      </c>
      <c r="G30" s="1">
        <f t="shared" si="0"/>
        <v>3.6020176744766887</v>
      </c>
      <c r="H30" s="1">
        <f t="shared" si="1"/>
        <v>8.4647415350202184</v>
      </c>
      <c r="I30">
        <v>0</v>
      </c>
      <c r="J30">
        <v>0.99999999999998945</v>
      </c>
    </row>
    <row r="31" spans="1:10" x14ac:dyDescent="0.25">
      <c r="A31">
        <v>195</v>
      </c>
      <c r="B31">
        <v>1</v>
      </c>
      <c r="C31">
        <v>0.20592599973412631</v>
      </c>
      <c r="D31">
        <v>0.41298711791212828</v>
      </c>
      <c r="E31">
        <v>3.5958500943643328</v>
      </c>
      <c r="F31">
        <v>3.5189786176596689</v>
      </c>
      <c r="G31" s="1">
        <f t="shared" si="0"/>
        <v>3.5574143560120008</v>
      </c>
      <c r="H31" s="1">
        <f t="shared" si="1"/>
        <v>8.3599237366282022</v>
      </c>
      <c r="I31">
        <v>0</v>
      </c>
      <c r="J31">
        <v>0.99999999999999689</v>
      </c>
    </row>
    <row r="32" spans="1:10" x14ac:dyDescent="0.25">
      <c r="A32">
        <v>200</v>
      </c>
      <c r="B32">
        <v>1</v>
      </c>
      <c r="C32">
        <v>0.37565774956930031</v>
      </c>
      <c r="D32">
        <v>0.13344919837794519</v>
      </c>
      <c r="E32">
        <v>3.5419592685454808</v>
      </c>
      <c r="F32">
        <v>3.4758022978728489</v>
      </c>
      <c r="G32" s="1">
        <f t="shared" si="0"/>
        <v>3.5088807832091646</v>
      </c>
      <c r="H32" s="1">
        <f t="shared" si="1"/>
        <v>8.2458698405415376</v>
      </c>
      <c r="I32">
        <v>0</v>
      </c>
      <c r="J32">
        <v>0.99999999999011158</v>
      </c>
    </row>
    <row r="33" spans="1:10" x14ac:dyDescent="0.25">
      <c r="A33">
        <v>205</v>
      </c>
      <c r="B33">
        <v>1</v>
      </c>
      <c r="C33">
        <v>0.1757948696889152</v>
      </c>
      <c r="D33">
        <v>0.38333183491336831</v>
      </c>
      <c r="E33">
        <v>3.545078807067823</v>
      </c>
      <c r="F33">
        <v>3.4911189505615861</v>
      </c>
      <c r="G33" s="1">
        <f t="shared" si="0"/>
        <v>3.5180988788147047</v>
      </c>
      <c r="H33" s="1">
        <f t="shared" si="1"/>
        <v>8.2675323652145565</v>
      </c>
      <c r="I33">
        <v>0</v>
      </c>
      <c r="J33">
        <v>1</v>
      </c>
    </row>
    <row r="34" spans="1:10" x14ac:dyDescent="0.25">
      <c r="A34">
        <v>210</v>
      </c>
      <c r="B34">
        <v>1</v>
      </c>
      <c r="C34">
        <v>0.30478938198310468</v>
      </c>
      <c r="D34">
        <v>0.32731853676682149</v>
      </c>
      <c r="E34">
        <v>3.5169429801748469</v>
      </c>
      <c r="F34">
        <v>3.449204898525422</v>
      </c>
      <c r="G34" s="1">
        <f t="shared" si="0"/>
        <v>3.4830739393501347</v>
      </c>
      <c r="H34" s="1">
        <f t="shared" si="1"/>
        <v>8.1852237574728175</v>
      </c>
      <c r="I34">
        <v>0</v>
      </c>
      <c r="J34">
        <v>0.99999999909267467</v>
      </c>
    </row>
    <row r="35" spans="1:10" x14ac:dyDescent="0.25">
      <c r="A35">
        <v>215</v>
      </c>
      <c r="B35">
        <v>1</v>
      </c>
      <c r="C35">
        <v>0.182526409925934</v>
      </c>
      <c r="D35">
        <v>0.36431910984763349</v>
      </c>
      <c r="E35">
        <v>3.5158799939123049</v>
      </c>
      <c r="F35">
        <v>3.4386756710474291</v>
      </c>
      <c r="G35" s="1">
        <f t="shared" si="0"/>
        <v>3.4772778324798672</v>
      </c>
      <c r="H35" s="1">
        <f t="shared" si="1"/>
        <v>8.1716029063276885</v>
      </c>
      <c r="I35">
        <v>0</v>
      </c>
      <c r="J35">
        <v>0.99999999998668432</v>
      </c>
    </row>
    <row r="36" spans="1:10" x14ac:dyDescent="0.25">
      <c r="A36">
        <v>220</v>
      </c>
      <c r="B36">
        <v>1</v>
      </c>
      <c r="C36">
        <v>0.12171767260890839</v>
      </c>
      <c r="D36">
        <v>0.2909224293336472</v>
      </c>
      <c r="E36">
        <v>3.452744738859054</v>
      </c>
      <c r="F36">
        <v>3.3674208238604471</v>
      </c>
      <c r="G36" s="1">
        <f t="shared" si="0"/>
        <v>3.4100827813597503</v>
      </c>
      <c r="H36" s="1">
        <f t="shared" si="1"/>
        <v>8.0136945361954126</v>
      </c>
      <c r="I36">
        <v>0</v>
      </c>
      <c r="J36">
        <v>0.99999999999999933</v>
      </c>
    </row>
    <row r="37" spans="1:10" x14ac:dyDescent="0.25">
      <c r="A37">
        <v>225</v>
      </c>
      <c r="B37">
        <v>1</v>
      </c>
      <c r="C37">
        <v>0.27807295231393581</v>
      </c>
      <c r="D37">
        <v>8.5703019646064832E-2</v>
      </c>
      <c r="E37">
        <v>3.46096356202318</v>
      </c>
      <c r="F37">
        <v>3.3558990293482598</v>
      </c>
      <c r="G37" s="1">
        <f t="shared" si="0"/>
        <v>3.4084312956857197</v>
      </c>
      <c r="H37" s="1">
        <f t="shared" si="1"/>
        <v>8.0098135448614407</v>
      </c>
      <c r="I37">
        <v>0</v>
      </c>
      <c r="J37">
        <v>0.99999999996882794</v>
      </c>
    </row>
    <row r="38" spans="1:10" x14ac:dyDescent="0.25">
      <c r="A38">
        <v>230</v>
      </c>
      <c r="B38">
        <v>1</v>
      </c>
      <c r="C38">
        <v>0.2751351829955494</v>
      </c>
      <c r="D38">
        <v>0.25891260275446337</v>
      </c>
      <c r="E38">
        <v>3.4411548063673569</v>
      </c>
      <c r="F38">
        <v>3.3175965665791201</v>
      </c>
      <c r="G38" s="1">
        <f t="shared" si="0"/>
        <v>3.3793756864732387</v>
      </c>
      <c r="H38" s="1">
        <f t="shared" si="1"/>
        <v>7.9415328632121112</v>
      </c>
      <c r="I38">
        <v>0</v>
      </c>
      <c r="J38">
        <v>0.99999999998683853</v>
      </c>
    </row>
    <row r="39" spans="1:10" x14ac:dyDescent="0.25">
      <c r="A39">
        <v>235</v>
      </c>
      <c r="B39">
        <v>1</v>
      </c>
      <c r="C39">
        <v>8.2368041012357548E-2</v>
      </c>
      <c r="D39">
        <v>0.27265845842268172</v>
      </c>
      <c r="E39">
        <v>3.4177858618449499</v>
      </c>
      <c r="F39">
        <v>3.2712300859376389</v>
      </c>
      <c r="G39" s="1">
        <f t="shared" si="0"/>
        <v>3.3445079738912944</v>
      </c>
      <c r="H39" s="1">
        <f t="shared" si="1"/>
        <v>7.8595937386445422</v>
      </c>
      <c r="I39">
        <v>0</v>
      </c>
      <c r="J39">
        <v>0.9999999999987349</v>
      </c>
    </row>
    <row r="40" spans="1:10" x14ac:dyDescent="0.25">
      <c r="A40">
        <v>240</v>
      </c>
      <c r="B40">
        <v>1</v>
      </c>
      <c r="C40">
        <v>0.34668854364208401</v>
      </c>
      <c r="D40">
        <v>0.12147511917423991</v>
      </c>
      <c r="E40">
        <v>3.392146443657956</v>
      </c>
      <c r="F40">
        <v>3.2138571929989488</v>
      </c>
      <c r="G40" s="1">
        <f t="shared" si="0"/>
        <v>3.3030018183284522</v>
      </c>
      <c r="H40" s="1">
        <f t="shared" si="1"/>
        <v>7.7620542730718629</v>
      </c>
      <c r="I40">
        <v>0</v>
      </c>
      <c r="J40">
        <v>0.99999999955911723</v>
      </c>
    </row>
    <row r="41" spans="1:10" x14ac:dyDescent="0.25">
      <c r="A41">
        <v>245</v>
      </c>
      <c r="B41">
        <v>1</v>
      </c>
      <c r="C41">
        <v>-0.1043620332108211</v>
      </c>
      <c r="D41">
        <v>-0.22546929189700801</v>
      </c>
      <c r="E41">
        <v>3.226136660533367</v>
      </c>
      <c r="F41">
        <v>3.149451494614925</v>
      </c>
      <c r="G41" s="1">
        <f t="shared" si="0"/>
        <v>3.187794077574146</v>
      </c>
      <c r="H41" s="1">
        <f t="shared" si="1"/>
        <v>7.4913160822992433</v>
      </c>
      <c r="I41">
        <v>0</v>
      </c>
      <c r="J41">
        <v>0.99999999998884292</v>
      </c>
    </row>
  </sheetData>
  <mergeCells count="1">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29F7-9F94-4DE7-8273-BA4501D771F8}">
  <dimension ref="A1:J41"/>
  <sheetViews>
    <sheetView workbookViewId="0">
      <selection activeCell="A2" sqref="A2"/>
    </sheetView>
  </sheetViews>
  <sheetFormatPr defaultRowHeight="15" x14ac:dyDescent="0.25"/>
  <cols>
    <col min="7" max="7" width="14" customWidth="1"/>
    <col min="8" max="8" width="13" customWidth="1"/>
  </cols>
  <sheetData>
    <row r="1" spans="1:10" x14ac:dyDescent="0.25">
      <c r="A1" t="s">
        <v>34</v>
      </c>
    </row>
    <row r="2" spans="1:10" x14ac:dyDescent="0.25">
      <c r="A2" t="s">
        <v>35</v>
      </c>
    </row>
    <row r="4" spans="1:10" x14ac:dyDescent="0.25">
      <c r="B4" s="25" t="s">
        <v>24</v>
      </c>
      <c r="C4" s="25"/>
      <c r="D4" s="25"/>
      <c r="E4" s="25"/>
      <c r="F4" s="25"/>
      <c r="G4" s="25"/>
      <c r="H4" s="25"/>
      <c r="I4" s="25"/>
      <c r="J4" s="25"/>
    </row>
    <row r="5" spans="1:10" x14ac:dyDescent="0.25">
      <c r="A5" t="s">
        <v>25</v>
      </c>
      <c r="B5" t="s">
        <v>26</v>
      </c>
      <c r="C5" t="s">
        <v>27</v>
      </c>
      <c r="D5" t="s">
        <v>28</v>
      </c>
      <c r="E5" t="s">
        <v>29</v>
      </c>
      <c r="F5" t="s">
        <v>30</v>
      </c>
      <c r="G5" s="1" t="s">
        <v>31</v>
      </c>
      <c r="H5" s="1" t="s">
        <v>65</v>
      </c>
      <c r="I5" t="s">
        <v>32</v>
      </c>
      <c r="J5" t="s">
        <v>26</v>
      </c>
    </row>
    <row r="6" spans="1:10" x14ac:dyDescent="0.25">
      <c r="A6">
        <v>70</v>
      </c>
      <c r="B6">
        <v>1</v>
      </c>
      <c r="C6">
        <v>0.37343906032793961</v>
      </c>
      <c r="D6">
        <v>0.36350120018057852</v>
      </c>
      <c r="E6">
        <v>5.9861431085680277</v>
      </c>
      <c r="F6">
        <v>5.8470189179070742</v>
      </c>
      <c r="G6" s="1">
        <f>AVERAGE(E6:F6)</f>
        <v>5.9165810132375505</v>
      </c>
      <c r="H6" s="1">
        <f>2.35*G6</f>
        <v>13.903965381108245</v>
      </c>
      <c r="I6">
        <v>0</v>
      </c>
      <c r="J6">
        <v>0.98810835717279255</v>
      </c>
    </row>
    <row r="7" spans="1:10" x14ac:dyDescent="0.25">
      <c r="A7">
        <v>75</v>
      </c>
      <c r="B7">
        <v>1</v>
      </c>
      <c r="C7">
        <v>0.28226070841527451</v>
      </c>
      <c r="D7">
        <v>0.52937548528976897</v>
      </c>
      <c r="E7">
        <v>5.7063933317261384</v>
      </c>
      <c r="F7">
        <v>5.5207374307920993</v>
      </c>
      <c r="G7" s="1">
        <f t="shared" ref="G7:G41" si="0">AVERAGE(E7:F7)</f>
        <v>5.6135653812591189</v>
      </c>
      <c r="H7" s="1">
        <f t="shared" ref="H7:H41" si="1">2.35*G7</f>
        <v>13.19187864595893</v>
      </c>
      <c r="I7">
        <v>0</v>
      </c>
      <c r="J7">
        <v>0.99437868151827524</v>
      </c>
    </row>
    <row r="8" spans="1:10" x14ac:dyDescent="0.25">
      <c r="A8">
        <v>80</v>
      </c>
      <c r="B8">
        <v>1</v>
      </c>
      <c r="C8">
        <v>5.9786504536427518E-2</v>
      </c>
      <c r="D8">
        <v>0.45642109063287678</v>
      </c>
      <c r="E8">
        <v>5.4949617930862793</v>
      </c>
      <c r="F8">
        <v>5.2965220785681781</v>
      </c>
      <c r="G8" s="1">
        <f t="shared" si="0"/>
        <v>5.3957419358272283</v>
      </c>
      <c r="H8" s="1">
        <f t="shared" si="1"/>
        <v>12.679993549193988</v>
      </c>
      <c r="I8">
        <v>0</v>
      </c>
      <c r="J8">
        <v>0.88983938251881234</v>
      </c>
    </row>
    <row r="9" spans="1:10" x14ac:dyDescent="0.25">
      <c r="A9">
        <v>85</v>
      </c>
      <c r="B9">
        <v>1</v>
      </c>
      <c r="C9">
        <v>8.2371734839334715E-2</v>
      </c>
      <c r="D9">
        <v>2.7352207523318631E-2</v>
      </c>
      <c r="E9">
        <v>5.2425694059698573</v>
      </c>
      <c r="F9">
        <v>5.0472268696436622</v>
      </c>
      <c r="G9" s="1">
        <f t="shared" si="0"/>
        <v>5.1448981378067593</v>
      </c>
      <c r="H9" s="1">
        <f t="shared" si="1"/>
        <v>12.090510623845885</v>
      </c>
      <c r="I9">
        <v>0</v>
      </c>
      <c r="J9">
        <v>0.89287116344100337</v>
      </c>
    </row>
    <row r="10" spans="1:10" x14ac:dyDescent="0.25">
      <c r="A10">
        <v>90</v>
      </c>
      <c r="B10">
        <v>1</v>
      </c>
      <c r="C10">
        <v>8.2781315054521853E-2</v>
      </c>
      <c r="D10">
        <v>0.53339225444221383</v>
      </c>
      <c r="E10">
        <v>5.1495374437270396</v>
      </c>
      <c r="F10">
        <v>4.9603058121776904</v>
      </c>
      <c r="G10" s="1">
        <f t="shared" si="0"/>
        <v>5.054921627952365</v>
      </c>
      <c r="H10" s="1">
        <f t="shared" si="1"/>
        <v>11.879065825688059</v>
      </c>
      <c r="I10">
        <v>0</v>
      </c>
      <c r="J10">
        <v>0.88524927434938072</v>
      </c>
    </row>
    <row r="11" spans="1:10" x14ac:dyDescent="0.25">
      <c r="A11">
        <v>95</v>
      </c>
      <c r="B11">
        <v>1</v>
      </c>
      <c r="C11">
        <v>0.28075359246843729</v>
      </c>
      <c r="D11">
        <v>0.1072146950860348</v>
      </c>
      <c r="E11">
        <v>5.0270890773057832</v>
      </c>
      <c r="F11">
        <v>4.8656554653130542</v>
      </c>
      <c r="G11" s="1">
        <f t="shared" si="0"/>
        <v>4.9463722713094187</v>
      </c>
      <c r="H11" s="1">
        <f t="shared" si="1"/>
        <v>11.623974837577135</v>
      </c>
      <c r="I11">
        <v>0</v>
      </c>
      <c r="J11">
        <v>1</v>
      </c>
    </row>
    <row r="12" spans="1:10" x14ac:dyDescent="0.25">
      <c r="A12">
        <v>100</v>
      </c>
      <c r="B12">
        <v>1</v>
      </c>
      <c r="C12">
        <v>1.6067830893379449E-2</v>
      </c>
      <c r="D12">
        <v>-4.1156623299195602E-2</v>
      </c>
      <c r="E12">
        <v>4.8188739519489694</v>
      </c>
      <c r="F12">
        <v>4.6771213791831654</v>
      </c>
      <c r="G12" s="1">
        <f t="shared" si="0"/>
        <v>4.7479976655660678</v>
      </c>
      <c r="H12" s="1">
        <f t="shared" si="1"/>
        <v>11.15779451408026</v>
      </c>
      <c r="I12">
        <v>0</v>
      </c>
      <c r="J12">
        <v>0.90681586994310037</v>
      </c>
    </row>
    <row r="13" spans="1:10" x14ac:dyDescent="0.25">
      <c r="A13">
        <v>105</v>
      </c>
      <c r="B13">
        <v>1</v>
      </c>
      <c r="C13">
        <v>6.8781234376833228E-2</v>
      </c>
      <c r="D13">
        <v>0.33712830786767428</v>
      </c>
      <c r="E13">
        <v>4.7525717175801381</v>
      </c>
      <c r="F13">
        <v>4.6294281031355116</v>
      </c>
      <c r="G13" s="1">
        <f t="shared" si="0"/>
        <v>4.6909999103578244</v>
      </c>
      <c r="H13" s="1">
        <f t="shared" si="1"/>
        <v>11.023849789340888</v>
      </c>
      <c r="I13">
        <v>0</v>
      </c>
      <c r="J13">
        <v>0.9112548968953319</v>
      </c>
    </row>
    <row r="14" spans="1:10" x14ac:dyDescent="0.25">
      <c r="A14">
        <v>110</v>
      </c>
      <c r="B14">
        <v>1</v>
      </c>
      <c r="C14">
        <v>0.28301938790097181</v>
      </c>
      <c r="D14">
        <v>0.34067516806417147</v>
      </c>
      <c r="E14">
        <v>4.6356054097958177</v>
      </c>
      <c r="F14">
        <v>4.5312316033117384</v>
      </c>
      <c r="G14" s="1">
        <f t="shared" si="0"/>
        <v>4.5834185065537785</v>
      </c>
      <c r="H14" s="1">
        <f t="shared" si="1"/>
        <v>10.771033490401379</v>
      </c>
      <c r="I14">
        <v>0</v>
      </c>
      <c r="J14">
        <v>0.88511028457140906</v>
      </c>
    </row>
    <row r="15" spans="1:10" x14ac:dyDescent="0.25">
      <c r="A15">
        <v>115</v>
      </c>
      <c r="B15">
        <v>1</v>
      </c>
      <c r="C15">
        <v>0.38879468062045258</v>
      </c>
      <c r="D15">
        <v>0.51964216473939118</v>
      </c>
      <c r="E15">
        <v>4.4830044875345569</v>
      </c>
      <c r="F15">
        <v>4.3937521758488298</v>
      </c>
      <c r="G15" s="1">
        <f t="shared" si="0"/>
        <v>4.4383783316916929</v>
      </c>
      <c r="H15" s="1">
        <f t="shared" si="1"/>
        <v>10.430189079475479</v>
      </c>
      <c r="I15">
        <v>0</v>
      </c>
      <c r="J15">
        <v>0.88359948195265869</v>
      </c>
    </row>
    <row r="16" spans="1:10" x14ac:dyDescent="0.25">
      <c r="A16">
        <v>120</v>
      </c>
      <c r="B16">
        <v>1</v>
      </c>
      <c r="C16">
        <v>0.31879875404949137</v>
      </c>
      <c r="D16">
        <v>0.2552784748651945</v>
      </c>
      <c r="E16">
        <v>4.4236379071754257</v>
      </c>
      <c r="F16">
        <v>4.3633653064401239</v>
      </c>
      <c r="G16" s="1">
        <f t="shared" si="0"/>
        <v>4.3935016068077744</v>
      </c>
      <c r="H16" s="1">
        <f t="shared" si="1"/>
        <v>10.32472877599827</v>
      </c>
      <c r="I16">
        <v>0</v>
      </c>
      <c r="J16">
        <v>0.9042571891486022</v>
      </c>
    </row>
    <row r="17" spans="1:10" x14ac:dyDescent="0.25">
      <c r="A17">
        <v>125</v>
      </c>
      <c r="B17">
        <v>1</v>
      </c>
      <c r="C17">
        <v>-2.155473170151713E-2</v>
      </c>
      <c r="D17">
        <v>-0.10358256125761769</v>
      </c>
      <c r="E17">
        <v>4.3013136813381294</v>
      </c>
      <c r="F17">
        <v>4.2732836014287523</v>
      </c>
      <c r="G17" s="1">
        <f t="shared" si="0"/>
        <v>4.2872986413834404</v>
      </c>
      <c r="H17" s="1">
        <f t="shared" si="1"/>
        <v>10.075151807251086</v>
      </c>
      <c r="I17">
        <v>0</v>
      </c>
      <c r="J17">
        <v>0.90043538545554402</v>
      </c>
    </row>
    <row r="18" spans="1:10" x14ac:dyDescent="0.25">
      <c r="A18">
        <v>130</v>
      </c>
      <c r="B18">
        <v>1</v>
      </c>
      <c r="C18">
        <v>0.19186695676649329</v>
      </c>
      <c r="D18">
        <v>-4.7726298414560851E-2</v>
      </c>
      <c r="E18">
        <v>4.2229885554398487</v>
      </c>
      <c r="F18">
        <v>4.2388089199239047</v>
      </c>
      <c r="G18" s="1">
        <f t="shared" si="0"/>
        <v>4.2308987376818763</v>
      </c>
      <c r="H18" s="1">
        <f t="shared" si="1"/>
        <v>9.9426120335524093</v>
      </c>
      <c r="I18">
        <v>0</v>
      </c>
      <c r="J18">
        <v>0.89657925341640887</v>
      </c>
    </row>
    <row r="19" spans="1:10" x14ac:dyDescent="0.25">
      <c r="A19">
        <v>135</v>
      </c>
      <c r="B19">
        <v>1</v>
      </c>
      <c r="C19">
        <v>0.20216726346356459</v>
      </c>
      <c r="D19">
        <v>0.28929977834024739</v>
      </c>
      <c r="E19">
        <v>4.1836828729509978</v>
      </c>
      <c r="F19">
        <v>4.2280408641125824</v>
      </c>
      <c r="G19" s="1">
        <f t="shared" si="0"/>
        <v>4.2058618685317901</v>
      </c>
      <c r="H19" s="1">
        <f t="shared" si="1"/>
        <v>9.8837753910497064</v>
      </c>
      <c r="I19">
        <v>0</v>
      </c>
      <c r="J19">
        <v>0.87619618412950029</v>
      </c>
    </row>
    <row r="20" spans="1:10" x14ac:dyDescent="0.25">
      <c r="A20">
        <v>140</v>
      </c>
      <c r="B20">
        <v>1</v>
      </c>
      <c r="C20">
        <v>0.28925238483732602</v>
      </c>
      <c r="D20">
        <v>0.22168964215912049</v>
      </c>
      <c r="E20">
        <v>4.0816096068971452</v>
      </c>
      <c r="F20">
        <v>4.1593696346720517</v>
      </c>
      <c r="G20" s="1">
        <f t="shared" si="0"/>
        <v>4.120489620784598</v>
      </c>
      <c r="H20" s="1">
        <f t="shared" si="1"/>
        <v>9.6831506088438051</v>
      </c>
      <c r="I20">
        <v>0</v>
      </c>
      <c r="J20">
        <v>0.92194007867237604</v>
      </c>
    </row>
    <row r="21" spans="1:10" x14ac:dyDescent="0.25">
      <c r="A21">
        <v>145</v>
      </c>
      <c r="B21">
        <v>1</v>
      </c>
      <c r="C21">
        <v>0.25378692727787899</v>
      </c>
      <c r="D21">
        <v>0.20175503863882691</v>
      </c>
      <c r="E21">
        <v>3.9343161772268318</v>
      </c>
      <c r="F21">
        <v>4.0450175922173788</v>
      </c>
      <c r="G21" s="1">
        <f t="shared" si="0"/>
        <v>3.9896668847221051</v>
      </c>
      <c r="H21" s="1">
        <f t="shared" si="1"/>
        <v>9.3757171790969469</v>
      </c>
      <c r="I21">
        <v>0</v>
      </c>
      <c r="J21">
        <v>0.88089471739603131</v>
      </c>
    </row>
    <row r="22" spans="1:10" x14ac:dyDescent="0.25">
      <c r="A22">
        <v>150</v>
      </c>
      <c r="B22">
        <v>1</v>
      </c>
      <c r="C22">
        <v>8.6478028287890876E-2</v>
      </c>
      <c r="D22">
        <v>0.1035964151764459</v>
      </c>
      <c r="E22">
        <v>3.9068677692329441</v>
      </c>
      <c r="F22">
        <v>4.0396439593214124</v>
      </c>
      <c r="G22" s="1">
        <f t="shared" si="0"/>
        <v>3.9732558642771783</v>
      </c>
      <c r="H22" s="1">
        <f t="shared" si="1"/>
        <v>9.3371512810513693</v>
      </c>
      <c r="I22">
        <v>0</v>
      </c>
      <c r="J22">
        <v>0.99999999999126998</v>
      </c>
    </row>
    <row r="23" spans="1:10" x14ac:dyDescent="0.25">
      <c r="A23">
        <v>155</v>
      </c>
      <c r="B23">
        <v>1</v>
      </c>
      <c r="C23">
        <v>6.256198065006624E-2</v>
      </c>
      <c r="D23">
        <v>7.8097564997990962E-2</v>
      </c>
      <c r="E23">
        <v>3.8185342825181432</v>
      </c>
      <c r="F23">
        <v>3.9742012901772319</v>
      </c>
      <c r="G23" s="1">
        <f t="shared" si="0"/>
        <v>3.8963677863476875</v>
      </c>
      <c r="H23" s="1">
        <f t="shared" si="1"/>
        <v>9.1564642979170667</v>
      </c>
      <c r="I23">
        <v>0</v>
      </c>
      <c r="J23">
        <v>1</v>
      </c>
    </row>
    <row r="24" spans="1:10" x14ac:dyDescent="0.25">
      <c r="A24">
        <v>160</v>
      </c>
      <c r="B24">
        <v>1</v>
      </c>
      <c r="C24">
        <v>0.31100695292708852</v>
      </c>
      <c r="D24">
        <v>1.695599144839198E-3</v>
      </c>
      <c r="E24">
        <v>3.8169776437202709</v>
      </c>
      <c r="F24">
        <v>3.97585345662683</v>
      </c>
      <c r="G24" s="1">
        <f t="shared" si="0"/>
        <v>3.8964155501735505</v>
      </c>
      <c r="H24" s="1">
        <f t="shared" si="1"/>
        <v>9.1565765429078443</v>
      </c>
      <c r="I24">
        <v>0</v>
      </c>
      <c r="J24">
        <v>0.92017581911277813</v>
      </c>
    </row>
    <row r="25" spans="1:10" x14ac:dyDescent="0.25">
      <c r="A25">
        <v>165</v>
      </c>
      <c r="B25">
        <v>1</v>
      </c>
      <c r="C25">
        <v>0.31459771488588162</v>
      </c>
      <c r="D25">
        <v>7.3615150602118637E-2</v>
      </c>
      <c r="E25">
        <v>3.7853005600736691</v>
      </c>
      <c r="F25">
        <v>3.9437524731889511</v>
      </c>
      <c r="G25" s="1">
        <f t="shared" si="0"/>
        <v>3.8645265166313099</v>
      </c>
      <c r="H25" s="1">
        <f t="shared" si="1"/>
        <v>9.0816373140835793</v>
      </c>
      <c r="I25">
        <v>0</v>
      </c>
      <c r="J25">
        <v>0.99999999339481505</v>
      </c>
    </row>
    <row r="26" spans="1:10" x14ac:dyDescent="0.25">
      <c r="A26">
        <v>170</v>
      </c>
      <c r="B26">
        <v>1</v>
      </c>
      <c r="C26">
        <v>9.8334826174055934E-4</v>
      </c>
      <c r="D26">
        <v>9.7591318270803321E-2</v>
      </c>
      <c r="E26">
        <v>3.7446143508416658</v>
      </c>
      <c r="F26">
        <v>3.8895243125695038</v>
      </c>
      <c r="G26" s="1">
        <f t="shared" si="0"/>
        <v>3.8170693317055848</v>
      </c>
      <c r="H26" s="1">
        <f t="shared" si="1"/>
        <v>8.9701129295081241</v>
      </c>
      <c r="I26">
        <v>0</v>
      </c>
      <c r="J26">
        <v>1</v>
      </c>
    </row>
    <row r="27" spans="1:10" x14ac:dyDescent="0.25">
      <c r="A27">
        <v>175</v>
      </c>
      <c r="B27">
        <v>1</v>
      </c>
      <c r="C27">
        <v>-7.3909757953559738E-2</v>
      </c>
      <c r="D27">
        <v>0.1010688089227421</v>
      </c>
      <c r="E27">
        <v>3.734825468162462</v>
      </c>
      <c r="F27">
        <v>3.8748010375616859</v>
      </c>
      <c r="G27" s="1">
        <f t="shared" si="0"/>
        <v>3.8048132528620737</v>
      </c>
      <c r="H27" s="1">
        <f t="shared" si="1"/>
        <v>8.9413111442258728</v>
      </c>
      <c r="I27">
        <v>0</v>
      </c>
      <c r="J27">
        <v>0.99999999998891664</v>
      </c>
    </row>
    <row r="28" spans="1:10" x14ac:dyDescent="0.25">
      <c r="A28">
        <v>180</v>
      </c>
      <c r="B28">
        <v>1</v>
      </c>
      <c r="C28">
        <v>0.18676103175093811</v>
      </c>
      <c r="D28">
        <v>0.32719718350724009</v>
      </c>
      <c r="E28">
        <v>3.6985296460966182</v>
      </c>
      <c r="F28">
        <v>3.8136375952798049</v>
      </c>
      <c r="G28" s="1">
        <f t="shared" si="0"/>
        <v>3.7560836206882113</v>
      </c>
      <c r="H28" s="1">
        <f t="shared" si="1"/>
        <v>8.8267965086172975</v>
      </c>
      <c r="I28">
        <v>0</v>
      </c>
      <c r="J28">
        <v>0.94513057693397595</v>
      </c>
    </row>
    <row r="29" spans="1:10" x14ac:dyDescent="0.25">
      <c r="A29">
        <v>185</v>
      </c>
      <c r="B29">
        <v>1</v>
      </c>
      <c r="C29">
        <v>0.1843342531836937</v>
      </c>
      <c r="D29">
        <v>6.4551042740510253E-2</v>
      </c>
      <c r="E29">
        <v>3.676169790690818</v>
      </c>
      <c r="F29">
        <v>3.747657141692474</v>
      </c>
      <c r="G29" s="1">
        <f t="shared" si="0"/>
        <v>3.7119134661916462</v>
      </c>
      <c r="H29" s="1">
        <f t="shared" si="1"/>
        <v>8.7229966455503689</v>
      </c>
      <c r="I29">
        <v>0</v>
      </c>
      <c r="J29">
        <v>0.93167252373206899</v>
      </c>
    </row>
    <row r="30" spans="1:10" x14ac:dyDescent="0.25">
      <c r="A30">
        <v>190</v>
      </c>
      <c r="B30">
        <v>1</v>
      </c>
      <c r="C30">
        <v>-4.0648166412232047E-2</v>
      </c>
      <c r="D30">
        <v>-8.0679637950867716E-2</v>
      </c>
      <c r="E30">
        <v>3.636763796813733</v>
      </c>
      <c r="F30">
        <v>3.6512548324739189</v>
      </c>
      <c r="G30" s="1">
        <f t="shared" si="0"/>
        <v>3.6440093146438262</v>
      </c>
      <c r="H30" s="1">
        <f t="shared" si="1"/>
        <v>8.5634218894129912</v>
      </c>
      <c r="I30">
        <v>0</v>
      </c>
      <c r="J30">
        <v>0.99999999999999889</v>
      </c>
    </row>
    <row r="31" spans="1:10" x14ac:dyDescent="0.25">
      <c r="A31">
        <v>195</v>
      </c>
      <c r="B31">
        <v>1</v>
      </c>
      <c r="C31">
        <v>0.18380698791864411</v>
      </c>
      <c r="D31">
        <v>0.23017836086847179</v>
      </c>
      <c r="E31">
        <v>3.6581805374573229</v>
      </c>
      <c r="F31">
        <v>3.6210052792150429</v>
      </c>
      <c r="G31" s="1">
        <f t="shared" si="0"/>
        <v>3.6395929083361827</v>
      </c>
      <c r="H31" s="1">
        <f t="shared" si="1"/>
        <v>8.5530433345900292</v>
      </c>
      <c r="I31">
        <v>0</v>
      </c>
      <c r="J31">
        <v>0.95948659658100266</v>
      </c>
    </row>
    <row r="32" spans="1:10" x14ac:dyDescent="0.25">
      <c r="A32">
        <v>200</v>
      </c>
      <c r="B32">
        <v>1</v>
      </c>
      <c r="C32">
        <v>0.10519254493078931</v>
      </c>
      <c r="D32">
        <v>0.16155937813676149</v>
      </c>
      <c r="E32">
        <v>3.6083323676409358</v>
      </c>
      <c r="F32">
        <v>3.5396312883592982</v>
      </c>
      <c r="G32" s="1">
        <f t="shared" si="0"/>
        <v>3.5739818280001172</v>
      </c>
      <c r="H32" s="1">
        <f t="shared" si="1"/>
        <v>8.3988572958002763</v>
      </c>
      <c r="I32">
        <v>0</v>
      </c>
      <c r="J32">
        <v>0.94239553319295388</v>
      </c>
    </row>
    <row r="33" spans="1:10" x14ac:dyDescent="0.25">
      <c r="A33">
        <v>205</v>
      </c>
      <c r="B33">
        <v>1</v>
      </c>
      <c r="C33">
        <v>0.19715083070924</v>
      </c>
      <c r="D33">
        <v>-0.1468765571872622</v>
      </c>
      <c r="E33">
        <v>3.5928330981181311</v>
      </c>
      <c r="F33">
        <v>3.5155810528892211</v>
      </c>
      <c r="G33" s="1">
        <f t="shared" si="0"/>
        <v>3.5542070755036761</v>
      </c>
      <c r="H33" s="1">
        <f t="shared" si="1"/>
        <v>8.3523866274336385</v>
      </c>
      <c r="I33">
        <v>0</v>
      </c>
      <c r="J33">
        <v>0.9465677158908995</v>
      </c>
    </row>
    <row r="34" spans="1:10" x14ac:dyDescent="0.25">
      <c r="A34">
        <v>210</v>
      </c>
      <c r="B34">
        <v>1</v>
      </c>
      <c r="C34">
        <v>0.26386454140678361</v>
      </c>
      <c r="D34">
        <v>0.12096104165021319</v>
      </c>
      <c r="E34">
        <v>3.5669059837227142</v>
      </c>
      <c r="F34">
        <v>3.4856295013878911</v>
      </c>
      <c r="G34" s="1">
        <f t="shared" si="0"/>
        <v>3.5262677425553024</v>
      </c>
      <c r="H34" s="1">
        <f t="shared" si="1"/>
        <v>8.2867291950049609</v>
      </c>
      <c r="I34">
        <v>0</v>
      </c>
      <c r="J34">
        <v>0.99999999879228985</v>
      </c>
    </row>
    <row r="35" spans="1:10" x14ac:dyDescent="0.25">
      <c r="A35">
        <v>215</v>
      </c>
      <c r="B35">
        <v>1</v>
      </c>
      <c r="C35">
        <v>0.25936801398785919</v>
      </c>
      <c r="D35">
        <v>-9.5397649932983247E-2</v>
      </c>
      <c r="E35">
        <v>3.5260290247612298</v>
      </c>
      <c r="F35">
        <v>3.4673834480487278</v>
      </c>
      <c r="G35" s="1">
        <f t="shared" si="0"/>
        <v>3.4967062364049788</v>
      </c>
      <c r="H35" s="1">
        <f t="shared" si="1"/>
        <v>8.2172596555517003</v>
      </c>
      <c r="I35">
        <v>0</v>
      </c>
      <c r="J35">
        <v>0.99999999999999956</v>
      </c>
    </row>
    <row r="36" spans="1:10" x14ac:dyDescent="0.25">
      <c r="A36">
        <v>220</v>
      </c>
      <c r="B36">
        <v>1</v>
      </c>
      <c r="C36">
        <v>2.94446093003971E-2</v>
      </c>
      <c r="D36">
        <v>-8.9819077698226488E-2</v>
      </c>
      <c r="E36">
        <v>3.5028187194424278</v>
      </c>
      <c r="F36">
        <v>3.4638166251438469</v>
      </c>
      <c r="G36" s="1">
        <f t="shared" si="0"/>
        <v>3.4833176722931372</v>
      </c>
      <c r="H36" s="1">
        <f t="shared" si="1"/>
        <v>8.1857965298888722</v>
      </c>
      <c r="I36">
        <v>0</v>
      </c>
      <c r="J36">
        <v>0.99999999985467092</v>
      </c>
    </row>
    <row r="37" spans="1:10" x14ac:dyDescent="0.25">
      <c r="A37">
        <v>225</v>
      </c>
      <c r="B37">
        <v>1</v>
      </c>
      <c r="C37">
        <v>0.26313152644853388</v>
      </c>
      <c r="D37">
        <v>-1.2009307719256601E-2</v>
      </c>
      <c r="E37">
        <v>3.4786226518779588</v>
      </c>
      <c r="F37">
        <v>3.4566498029632791</v>
      </c>
      <c r="G37" s="1">
        <f t="shared" si="0"/>
        <v>3.4676362274206189</v>
      </c>
      <c r="H37" s="1">
        <f t="shared" si="1"/>
        <v>8.1489451344384545</v>
      </c>
      <c r="I37">
        <v>0</v>
      </c>
      <c r="J37">
        <v>0.99999999999990641</v>
      </c>
    </row>
    <row r="38" spans="1:10" x14ac:dyDescent="0.25">
      <c r="A38">
        <v>230</v>
      </c>
      <c r="B38">
        <v>1</v>
      </c>
      <c r="C38">
        <v>6.1119067248767867E-2</v>
      </c>
      <c r="D38">
        <v>0.1061082909329573</v>
      </c>
      <c r="E38">
        <v>3.4522486361177691</v>
      </c>
      <c r="F38">
        <v>3.446384654090715</v>
      </c>
      <c r="G38" s="1">
        <f t="shared" si="0"/>
        <v>3.4493166451042421</v>
      </c>
      <c r="H38" s="1">
        <f t="shared" si="1"/>
        <v>8.1058941159949693</v>
      </c>
      <c r="I38">
        <v>0</v>
      </c>
      <c r="J38">
        <v>1</v>
      </c>
    </row>
    <row r="39" spans="1:10" x14ac:dyDescent="0.25">
      <c r="A39">
        <v>235</v>
      </c>
      <c r="B39">
        <v>1</v>
      </c>
      <c r="C39">
        <v>9.3463748299757524E-2</v>
      </c>
      <c r="D39">
        <v>0.1226094260416415</v>
      </c>
      <c r="E39">
        <v>3.3901446291584771</v>
      </c>
      <c r="F39">
        <v>3.3876738461239508</v>
      </c>
      <c r="G39" s="1">
        <f t="shared" si="0"/>
        <v>3.3889092376412142</v>
      </c>
      <c r="H39" s="1">
        <f t="shared" si="1"/>
        <v>7.9639367084568535</v>
      </c>
      <c r="I39">
        <v>0</v>
      </c>
      <c r="J39">
        <v>0.99999999999999967</v>
      </c>
    </row>
    <row r="40" spans="1:10" x14ac:dyDescent="0.25">
      <c r="A40">
        <v>240</v>
      </c>
      <c r="B40">
        <v>1</v>
      </c>
      <c r="C40">
        <v>0.15129957996326551</v>
      </c>
      <c r="D40">
        <v>-0.15666147370604289</v>
      </c>
      <c r="E40">
        <v>3.307631380763707</v>
      </c>
      <c r="F40">
        <v>3.3136752433132721</v>
      </c>
      <c r="G40" s="1">
        <f t="shared" si="0"/>
        <v>3.3106533120384896</v>
      </c>
      <c r="H40" s="1">
        <f t="shared" si="1"/>
        <v>7.7800352832904505</v>
      </c>
      <c r="I40">
        <v>0</v>
      </c>
      <c r="J40">
        <v>1</v>
      </c>
    </row>
    <row r="41" spans="1:10" x14ac:dyDescent="0.25">
      <c r="A41">
        <v>245</v>
      </c>
      <c r="B41">
        <v>1</v>
      </c>
      <c r="C41">
        <v>0.1778878784923244</v>
      </c>
      <c r="D41">
        <v>5.1053503756132233E-2</v>
      </c>
      <c r="E41">
        <v>3.1520957496059889</v>
      </c>
      <c r="F41">
        <v>3.0011027758604549</v>
      </c>
      <c r="G41" s="1">
        <f t="shared" si="0"/>
        <v>3.0765992627332217</v>
      </c>
      <c r="H41" s="1">
        <f t="shared" si="1"/>
        <v>7.230008267423071</v>
      </c>
      <c r="I41">
        <v>0</v>
      </c>
      <c r="J41">
        <v>1</v>
      </c>
    </row>
  </sheetData>
  <mergeCells count="1">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034E-9A47-410E-8AF9-8F8CDA1D42EB}">
  <dimension ref="A1:J41"/>
  <sheetViews>
    <sheetView workbookViewId="0">
      <selection activeCell="A2" sqref="A2"/>
    </sheetView>
  </sheetViews>
  <sheetFormatPr defaultRowHeight="15" x14ac:dyDescent="0.25"/>
  <sheetData>
    <row r="1" spans="1:10" x14ac:dyDescent="0.25">
      <c r="A1" t="s">
        <v>36</v>
      </c>
    </row>
    <row r="2" spans="1:10" x14ac:dyDescent="0.25">
      <c r="A2" t="s">
        <v>37</v>
      </c>
    </row>
    <row r="4" spans="1:10" x14ac:dyDescent="0.25">
      <c r="B4" s="25" t="s">
        <v>24</v>
      </c>
      <c r="C4" s="25"/>
      <c r="D4" s="25"/>
      <c r="E4" s="25"/>
      <c r="F4" s="25"/>
      <c r="G4" s="25"/>
      <c r="H4" s="25"/>
      <c r="I4" s="25"/>
      <c r="J4" s="25"/>
    </row>
    <row r="5" spans="1:10" x14ac:dyDescent="0.25">
      <c r="A5" t="s">
        <v>25</v>
      </c>
      <c r="B5" t="s">
        <v>26</v>
      </c>
      <c r="C5" t="s">
        <v>27</v>
      </c>
      <c r="D5" t="s">
        <v>28</v>
      </c>
      <c r="E5" t="s">
        <v>29</v>
      </c>
      <c r="F5" t="s">
        <v>30</v>
      </c>
      <c r="G5" s="1" t="s">
        <v>31</v>
      </c>
      <c r="H5" s="1" t="s">
        <v>65</v>
      </c>
      <c r="I5" t="s">
        <v>32</v>
      </c>
      <c r="J5" t="s">
        <v>26</v>
      </c>
    </row>
    <row r="6" spans="1:10" x14ac:dyDescent="0.25">
      <c r="A6">
        <v>70</v>
      </c>
      <c r="B6">
        <v>1</v>
      </c>
      <c r="C6">
        <v>0.1668927050780718</v>
      </c>
      <c r="D6">
        <v>0.64914430700888537</v>
      </c>
      <c r="E6">
        <v>5.948852672587174</v>
      </c>
      <c r="F6">
        <v>5.8943754124216907</v>
      </c>
      <c r="G6" s="1">
        <f>AVERAGE(E6:F6)</f>
        <v>5.9216140425044319</v>
      </c>
      <c r="H6" s="1">
        <f>2.35*G6</f>
        <v>13.915792999885415</v>
      </c>
      <c r="I6">
        <v>0</v>
      </c>
      <c r="J6">
        <v>0.98618899533220372</v>
      </c>
    </row>
    <row r="7" spans="1:10" x14ac:dyDescent="0.25">
      <c r="A7">
        <v>75</v>
      </c>
      <c r="B7">
        <v>1</v>
      </c>
      <c r="C7">
        <v>0.18347212206950941</v>
      </c>
      <c r="D7">
        <v>0.35155714515293313</v>
      </c>
      <c r="E7">
        <v>5.6576170192474411</v>
      </c>
      <c r="F7">
        <v>5.6336809397239271</v>
      </c>
      <c r="G7" s="1">
        <f t="shared" ref="G7:G41" si="0">AVERAGE(E7:F7)</f>
        <v>5.6456489794856841</v>
      </c>
      <c r="H7" s="1">
        <f t="shared" ref="H7:H41" si="1">2.35*G7</f>
        <v>13.267275101791359</v>
      </c>
      <c r="I7">
        <v>0</v>
      </c>
      <c r="J7">
        <v>0.91521113927816811</v>
      </c>
    </row>
    <row r="8" spans="1:10" x14ac:dyDescent="0.25">
      <c r="A8">
        <v>80</v>
      </c>
      <c r="B8">
        <v>1</v>
      </c>
      <c r="C8">
        <v>0.15736272252598779</v>
      </c>
      <c r="D8">
        <v>0.29541113256124762</v>
      </c>
      <c r="E8">
        <v>5.4018535948387338</v>
      </c>
      <c r="F8">
        <v>5.3842182741853719</v>
      </c>
      <c r="G8" s="1">
        <f t="shared" si="0"/>
        <v>5.3930359345120529</v>
      </c>
      <c r="H8" s="1">
        <f t="shared" si="1"/>
        <v>12.673634446103325</v>
      </c>
      <c r="I8">
        <v>0</v>
      </c>
      <c r="J8">
        <v>0.88919410682939337</v>
      </c>
    </row>
    <row r="9" spans="1:10" x14ac:dyDescent="0.25">
      <c r="A9">
        <v>85</v>
      </c>
      <c r="B9">
        <v>1</v>
      </c>
      <c r="C9">
        <v>-4.5031245612545477E-2</v>
      </c>
      <c r="D9">
        <v>0.41810921966058251</v>
      </c>
      <c r="E9">
        <v>5.2194430955105444</v>
      </c>
      <c r="F9">
        <v>5.1961342533017509</v>
      </c>
      <c r="G9" s="1">
        <f t="shared" si="0"/>
        <v>5.2077886744061477</v>
      </c>
      <c r="H9" s="1">
        <f t="shared" si="1"/>
        <v>12.238303384854447</v>
      </c>
      <c r="I9">
        <v>0</v>
      </c>
      <c r="J9">
        <v>0.88474005665122946</v>
      </c>
    </row>
    <row r="10" spans="1:10" x14ac:dyDescent="0.25">
      <c r="A10">
        <v>90</v>
      </c>
      <c r="B10">
        <v>1</v>
      </c>
      <c r="C10">
        <v>0.2600007871477798</v>
      </c>
      <c r="D10">
        <v>0.13207133203194391</v>
      </c>
      <c r="E10">
        <v>5.1168455292498258</v>
      </c>
      <c r="F10">
        <v>5.0891625629678678</v>
      </c>
      <c r="G10" s="1">
        <f t="shared" si="0"/>
        <v>5.1030040461088468</v>
      </c>
      <c r="H10" s="1">
        <f t="shared" si="1"/>
        <v>11.992059508355791</v>
      </c>
      <c r="I10">
        <v>0</v>
      </c>
      <c r="J10">
        <v>0.88255111654056051</v>
      </c>
    </row>
    <row r="11" spans="1:10" x14ac:dyDescent="0.25">
      <c r="A11">
        <v>95</v>
      </c>
      <c r="B11">
        <v>0.99999999999975731</v>
      </c>
      <c r="C11">
        <v>0.2373759763449611</v>
      </c>
      <c r="D11">
        <v>0.55016684738846</v>
      </c>
      <c r="E11">
        <v>4.9533842731335209</v>
      </c>
      <c r="F11">
        <v>4.914342946998703</v>
      </c>
      <c r="G11" s="1">
        <f t="shared" si="0"/>
        <v>4.933863610066112</v>
      </c>
      <c r="H11" s="1">
        <f t="shared" si="1"/>
        <v>11.594579483655364</v>
      </c>
      <c r="I11">
        <v>0</v>
      </c>
      <c r="J11">
        <v>0.83710999985397927</v>
      </c>
    </row>
    <row r="12" spans="1:10" x14ac:dyDescent="0.25">
      <c r="A12">
        <v>100</v>
      </c>
      <c r="B12">
        <v>1</v>
      </c>
      <c r="C12">
        <v>0.2037509003563828</v>
      </c>
      <c r="D12">
        <v>0.33208326698311741</v>
      </c>
      <c r="E12">
        <v>4.863895761373624</v>
      </c>
      <c r="F12">
        <v>4.8100314850768724</v>
      </c>
      <c r="G12" s="1">
        <f t="shared" si="0"/>
        <v>4.8369636232252482</v>
      </c>
      <c r="H12" s="1">
        <f t="shared" si="1"/>
        <v>11.366864514579333</v>
      </c>
      <c r="I12">
        <v>0</v>
      </c>
      <c r="J12">
        <v>0.84366257379151866</v>
      </c>
    </row>
    <row r="13" spans="1:10" x14ac:dyDescent="0.25">
      <c r="A13">
        <v>105</v>
      </c>
      <c r="B13">
        <v>0.999999999999998</v>
      </c>
      <c r="C13">
        <v>-6.9472163768369996E-2</v>
      </c>
      <c r="D13">
        <v>3.6825907439425362E-2</v>
      </c>
      <c r="E13">
        <v>4.7653433393498803</v>
      </c>
      <c r="F13">
        <v>4.7098878802286412</v>
      </c>
      <c r="G13" s="1">
        <f t="shared" si="0"/>
        <v>4.7376156097892608</v>
      </c>
      <c r="H13" s="1">
        <f t="shared" si="1"/>
        <v>11.133396683004763</v>
      </c>
      <c r="I13">
        <v>0</v>
      </c>
      <c r="J13">
        <v>0.86475393013663382</v>
      </c>
    </row>
    <row r="14" spans="1:10" x14ac:dyDescent="0.25">
      <c r="A14">
        <v>110</v>
      </c>
      <c r="B14">
        <v>1</v>
      </c>
      <c r="C14">
        <v>0.1479931907922718</v>
      </c>
      <c r="D14">
        <v>0.35652013199324412</v>
      </c>
      <c r="E14">
        <v>4.5719269349384364</v>
      </c>
      <c r="F14">
        <v>4.507879380517454</v>
      </c>
      <c r="G14" s="1">
        <f t="shared" si="0"/>
        <v>4.5399031577279452</v>
      </c>
      <c r="H14" s="1">
        <f t="shared" si="1"/>
        <v>10.668772420660671</v>
      </c>
      <c r="I14">
        <v>0</v>
      </c>
      <c r="J14">
        <v>0.89552578458125776</v>
      </c>
    </row>
    <row r="15" spans="1:10" x14ac:dyDescent="0.25">
      <c r="A15">
        <v>115</v>
      </c>
      <c r="B15">
        <v>0.99999999999660094</v>
      </c>
      <c r="C15">
        <v>0.1949288043515128</v>
      </c>
      <c r="D15">
        <v>0.2311895060939814</v>
      </c>
      <c r="E15">
        <v>4.5637867675798844</v>
      </c>
      <c r="F15">
        <v>4.4927990801737137</v>
      </c>
      <c r="G15" s="1">
        <f t="shared" si="0"/>
        <v>4.5282929238767995</v>
      </c>
      <c r="H15" s="1">
        <f t="shared" si="1"/>
        <v>10.64148837111048</v>
      </c>
      <c r="I15">
        <v>0</v>
      </c>
      <c r="J15">
        <v>0.90872488824955389</v>
      </c>
    </row>
    <row r="16" spans="1:10" x14ac:dyDescent="0.25">
      <c r="A16">
        <v>120</v>
      </c>
      <c r="B16">
        <v>1</v>
      </c>
      <c r="C16">
        <v>0.17646641390155829</v>
      </c>
      <c r="D16">
        <v>0.23646731213002711</v>
      </c>
      <c r="E16">
        <v>4.4686650900305116</v>
      </c>
      <c r="F16">
        <v>4.3846521516726646</v>
      </c>
      <c r="G16" s="1">
        <f t="shared" si="0"/>
        <v>4.4266586208515886</v>
      </c>
      <c r="H16" s="1">
        <f t="shared" si="1"/>
        <v>10.402647759001233</v>
      </c>
      <c r="I16">
        <v>0</v>
      </c>
      <c r="J16">
        <v>0.87629310561723162</v>
      </c>
    </row>
    <row r="17" spans="1:10" x14ac:dyDescent="0.25">
      <c r="A17">
        <v>125</v>
      </c>
      <c r="B17">
        <v>0.99999999999817102</v>
      </c>
      <c r="C17">
        <v>-0.1477725627533818</v>
      </c>
      <c r="D17">
        <v>9.1964243226256001E-2</v>
      </c>
      <c r="E17">
        <v>4.3714252380259619</v>
      </c>
      <c r="F17">
        <v>4.2679064002007996</v>
      </c>
      <c r="G17" s="1">
        <f t="shared" si="0"/>
        <v>4.3196658191133803</v>
      </c>
      <c r="H17" s="1">
        <f t="shared" si="1"/>
        <v>10.151214674916444</v>
      </c>
      <c r="I17">
        <v>0</v>
      </c>
      <c r="J17">
        <v>0.91241318877928412</v>
      </c>
    </row>
    <row r="18" spans="1:10" x14ac:dyDescent="0.25">
      <c r="A18">
        <v>130</v>
      </c>
      <c r="B18">
        <v>1</v>
      </c>
      <c r="C18">
        <v>-0.13590248735924459</v>
      </c>
      <c r="D18">
        <v>0.40999498667457551</v>
      </c>
      <c r="E18">
        <v>4.3228570285197483</v>
      </c>
      <c r="F18">
        <v>4.1991059467458118</v>
      </c>
      <c r="G18" s="1">
        <f t="shared" si="0"/>
        <v>4.2609814876327796</v>
      </c>
      <c r="H18" s="1">
        <f t="shared" si="1"/>
        <v>10.013306495937032</v>
      </c>
      <c r="I18">
        <v>0</v>
      </c>
      <c r="J18">
        <v>0.90346797729351436</v>
      </c>
    </row>
    <row r="19" spans="1:10" x14ac:dyDescent="0.25">
      <c r="A19">
        <v>135</v>
      </c>
      <c r="B19">
        <v>1</v>
      </c>
      <c r="C19">
        <v>0.14697735857589631</v>
      </c>
      <c r="D19">
        <v>0.35813830946513109</v>
      </c>
      <c r="E19">
        <v>4.2123510872356213</v>
      </c>
      <c r="F19">
        <v>4.0722715941981953</v>
      </c>
      <c r="G19" s="1">
        <f t="shared" si="0"/>
        <v>4.1423113407169083</v>
      </c>
      <c r="H19" s="1">
        <f t="shared" si="1"/>
        <v>9.7344316506847353</v>
      </c>
      <c r="I19">
        <v>0</v>
      </c>
      <c r="J19">
        <v>0.90243962974985059</v>
      </c>
    </row>
    <row r="20" spans="1:10" x14ac:dyDescent="0.25">
      <c r="A20">
        <v>140</v>
      </c>
      <c r="B20">
        <v>1</v>
      </c>
      <c r="C20">
        <v>4.9115926516816913E-2</v>
      </c>
      <c r="D20">
        <v>0.33702089199890578</v>
      </c>
      <c r="E20">
        <v>4.2058379694990524</v>
      </c>
      <c r="F20">
        <v>4.046420246679606</v>
      </c>
      <c r="G20" s="1">
        <f t="shared" si="0"/>
        <v>4.1261291080893292</v>
      </c>
      <c r="H20" s="1">
        <f t="shared" si="1"/>
        <v>9.6964034040099243</v>
      </c>
      <c r="I20">
        <v>0</v>
      </c>
      <c r="J20">
        <v>0.87641733322103887</v>
      </c>
    </row>
    <row r="21" spans="1:10" x14ac:dyDescent="0.25">
      <c r="A21">
        <v>145</v>
      </c>
      <c r="B21">
        <v>1</v>
      </c>
      <c r="C21">
        <v>-5.4645997214329937E-2</v>
      </c>
      <c r="D21">
        <v>0.1198479886347573</v>
      </c>
      <c r="E21">
        <v>4.1324944835537023</v>
      </c>
      <c r="F21">
        <v>3.963642749349805</v>
      </c>
      <c r="G21" s="1">
        <f t="shared" si="0"/>
        <v>4.0480686164517534</v>
      </c>
      <c r="H21" s="1">
        <f t="shared" si="1"/>
        <v>9.5129612486616217</v>
      </c>
      <c r="I21">
        <v>0</v>
      </c>
      <c r="J21">
        <v>0.89569696521152009</v>
      </c>
    </row>
    <row r="22" spans="1:10" x14ac:dyDescent="0.25">
      <c r="A22">
        <v>150</v>
      </c>
      <c r="B22">
        <v>1</v>
      </c>
      <c r="C22">
        <v>-6.2551965386515682E-2</v>
      </c>
      <c r="D22">
        <v>0.43609112422544422</v>
      </c>
      <c r="E22">
        <v>4.0548559663991712</v>
      </c>
      <c r="F22">
        <v>3.867734717081412</v>
      </c>
      <c r="G22" s="1">
        <f t="shared" si="0"/>
        <v>3.9612953417402919</v>
      </c>
      <c r="H22" s="1">
        <f t="shared" si="1"/>
        <v>9.3090440530896856</v>
      </c>
      <c r="I22">
        <v>0</v>
      </c>
      <c r="J22">
        <v>0.91138398363567075</v>
      </c>
    </row>
    <row r="23" spans="1:10" x14ac:dyDescent="0.25">
      <c r="A23">
        <v>155</v>
      </c>
      <c r="B23">
        <v>1</v>
      </c>
      <c r="C23">
        <v>-7.8098434049751683E-2</v>
      </c>
      <c r="D23">
        <v>0.38014550258999869</v>
      </c>
      <c r="E23">
        <v>4.0291511449796777</v>
      </c>
      <c r="F23">
        <v>3.8208186062206542</v>
      </c>
      <c r="G23" s="1">
        <f t="shared" si="0"/>
        <v>3.924984875600166</v>
      </c>
      <c r="H23" s="1">
        <f t="shared" si="1"/>
        <v>9.2237144576603907</v>
      </c>
      <c r="I23">
        <v>0</v>
      </c>
      <c r="J23">
        <v>0.9234456087817754</v>
      </c>
    </row>
    <row r="24" spans="1:10" x14ac:dyDescent="0.25">
      <c r="A24">
        <v>160</v>
      </c>
      <c r="B24">
        <v>1</v>
      </c>
      <c r="C24">
        <v>-4.3283659540922489E-2</v>
      </c>
      <c r="D24">
        <v>0.12675806175834159</v>
      </c>
      <c r="E24">
        <v>3.9940209288649529</v>
      </c>
      <c r="F24">
        <v>3.7736145333915032</v>
      </c>
      <c r="G24" s="1">
        <f t="shared" si="0"/>
        <v>3.8838177311282278</v>
      </c>
      <c r="H24" s="1">
        <f t="shared" si="1"/>
        <v>9.1269716681513362</v>
      </c>
      <c r="I24">
        <v>0</v>
      </c>
      <c r="J24">
        <v>0.99999996944749248</v>
      </c>
    </row>
    <row r="25" spans="1:10" x14ac:dyDescent="0.25">
      <c r="A25">
        <v>165</v>
      </c>
      <c r="B25">
        <v>1</v>
      </c>
      <c r="C25">
        <v>-6.1332607412700593E-2</v>
      </c>
      <c r="D25">
        <v>0.21364328364145149</v>
      </c>
      <c r="E25">
        <v>3.941093374670146</v>
      </c>
      <c r="F25">
        <v>3.7292776834751331</v>
      </c>
      <c r="G25" s="1">
        <f t="shared" si="0"/>
        <v>3.8351855290726395</v>
      </c>
      <c r="H25" s="1">
        <f t="shared" si="1"/>
        <v>9.0126859933207033</v>
      </c>
      <c r="I25">
        <v>0</v>
      </c>
      <c r="J25">
        <v>0.99999999999931943</v>
      </c>
    </row>
    <row r="26" spans="1:10" x14ac:dyDescent="0.25">
      <c r="A26">
        <v>170</v>
      </c>
      <c r="B26">
        <v>1</v>
      </c>
      <c r="C26">
        <v>0.2031757367183433</v>
      </c>
      <c r="D26">
        <v>0.39723202522331141</v>
      </c>
      <c r="E26">
        <v>3.8701513875751399</v>
      </c>
      <c r="F26">
        <v>3.6656675747380558</v>
      </c>
      <c r="G26" s="1">
        <f t="shared" si="0"/>
        <v>3.7679094811565976</v>
      </c>
      <c r="H26" s="1">
        <f t="shared" si="1"/>
        <v>8.8545872807180039</v>
      </c>
      <c r="I26">
        <v>0</v>
      </c>
      <c r="J26">
        <v>0.95638216245088636</v>
      </c>
    </row>
    <row r="27" spans="1:10" x14ac:dyDescent="0.25">
      <c r="A27">
        <v>175</v>
      </c>
      <c r="B27">
        <v>1</v>
      </c>
      <c r="C27">
        <v>0.18115138878861159</v>
      </c>
      <c r="D27">
        <v>0.14946542214610109</v>
      </c>
      <c r="E27">
        <v>3.8554506365494152</v>
      </c>
      <c r="F27">
        <v>3.6582742505475809</v>
      </c>
      <c r="G27" s="1">
        <f t="shared" si="0"/>
        <v>3.7568624435484983</v>
      </c>
      <c r="H27" s="1">
        <f t="shared" si="1"/>
        <v>8.8286267423389706</v>
      </c>
      <c r="I27">
        <v>0</v>
      </c>
      <c r="J27">
        <v>1</v>
      </c>
    </row>
    <row r="28" spans="1:10" x14ac:dyDescent="0.25">
      <c r="A28">
        <v>180</v>
      </c>
      <c r="B28">
        <v>1</v>
      </c>
      <c r="C28">
        <v>-7.8456462323950912E-2</v>
      </c>
      <c r="D28">
        <v>0.12950207057711069</v>
      </c>
      <c r="E28">
        <v>3.83313195956968</v>
      </c>
      <c r="F28">
        <v>3.6514647125293078</v>
      </c>
      <c r="G28" s="1">
        <f t="shared" si="0"/>
        <v>3.7422983360494939</v>
      </c>
      <c r="H28" s="1">
        <f t="shared" si="1"/>
        <v>8.7944010897163114</v>
      </c>
      <c r="I28">
        <v>0</v>
      </c>
      <c r="J28">
        <v>0.91579669581524048</v>
      </c>
    </row>
    <row r="29" spans="1:10" x14ac:dyDescent="0.25">
      <c r="A29">
        <v>185</v>
      </c>
      <c r="B29">
        <v>1</v>
      </c>
      <c r="C29">
        <v>9.8870541474036788E-2</v>
      </c>
      <c r="D29">
        <v>7.5208411006130585E-2</v>
      </c>
      <c r="E29">
        <v>3.755510622103293</v>
      </c>
      <c r="F29">
        <v>3.6028217901601631</v>
      </c>
      <c r="G29" s="1">
        <f t="shared" si="0"/>
        <v>3.6791662061317281</v>
      </c>
      <c r="H29" s="1">
        <f t="shared" si="1"/>
        <v>8.6460405844095618</v>
      </c>
      <c r="I29">
        <v>0</v>
      </c>
      <c r="J29">
        <v>0.99999999994303979</v>
      </c>
    </row>
    <row r="30" spans="1:10" x14ac:dyDescent="0.25">
      <c r="A30">
        <v>190</v>
      </c>
      <c r="B30">
        <v>1</v>
      </c>
      <c r="C30">
        <v>-0.13556701563883611</v>
      </c>
      <c r="D30">
        <v>0.14690731192646811</v>
      </c>
      <c r="E30">
        <v>3.7186756511282488</v>
      </c>
      <c r="F30">
        <v>3.5965156337431852</v>
      </c>
      <c r="G30" s="1">
        <f t="shared" si="0"/>
        <v>3.6575956424357168</v>
      </c>
      <c r="H30" s="1">
        <f t="shared" si="1"/>
        <v>8.5953497597239341</v>
      </c>
      <c r="I30">
        <v>0</v>
      </c>
      <c r="J30">
        <v>0.99999999998316191</v>
      </c>
    </row>
    <row r="31" spans="1:10" x14ac:dyDescent="0.25">
      <c r="A31">
        <v>195</v>
      </c>
      <c r="B31">
        <v>1</v>
      </c>
      <c r="C31">
        <v>-9.3256945235525596E-3</v>
      </c>
      <c r="D31">
        <v>0.2299537998625206</v>
      </c>
      <c r="E31">
        <v>3.6669708860733938</v>
      </c>
      <c r="F31">
        <v>3.572052885389839</v>
      </c>
      <c r="G31" s="1">
        <f t="shared" si="0"/>
        <v>3.6195118857316162</v>
      </c>
      <c r="H31" s="1">
        <f t="shared" si="1"/>
        <v>8.505852931469299</v>
      </c>
      <c r="I31">
        <v>0</v>
      </c>
      <c r="J31">
        <v>0.93977041495903391</v>
      </c>
    </row>
    <row r="32" spans="1:10" x14ac:dyDescent="0.25">
      <c r="A32">
        <v>200</v>
      </c>
      <c r="B32">
        <v>1</v>
      </c>
      <c r="C32">
        <v>7.2581044849351586E-2</v>
      </c>
      <c r="D32">
        <v>2.227825319119929E-2</v>
      </c>
      <c r="E32">
        <v>3.662148287523888</v>
      </c>
      <c r="F32">
        <v>3.5764237564984609</v>
      </c>
      <c r="G32" s="1">
        <f t="shared" si="0"/>
        <v>3.6192860220111744</v>
      </c>
      <c r="H32" s="1">
        <f t="shared" si="1"/>
        <v>8.5053221517262596</v>
      </c>
      <c r="I32">
        <v>0</v>
      </c>
      <c r="J32">
        <v>0.95377821160199727</v>
      </c>
    </row>
    <row r="33" spans="1:10" x14ac:dyDescent="0.25">
      <c r="A33">
        <v>205</v>
      </c>
      <c r="B33">
        <v>1</v>
      </c>
      <c r="C33">
        <v>-0.14608930733984921</v>
      </c>
      <c r="D33">
        <v>-1.27969555466661E-2</v>
      </c>
      <c r="E33">
        <v>3.63434194988477</v>
      </c>
      <c r="F33">
        <v>3.5473304474859142</v>
      </c>
      <c r="G33" s="1">
        <f t="shared" si="0"/>
        <v>3.5908361986853423</v>
      </c>
      <c r="H33" s="1">
        <f t="shared" si="1"/>
        <v>8.4384650669105543</v>
      </c>
      <c r="I33">
        <v>0</v>
      </c>
      <c r="J33">
        <v>0.99999999946566454</v>
      </c>
    </row>
    <row r="34" spans="1:10" x14ac:dyDescent="0.25">
      <c r="A34">
        <v>210</v>
      </c>
      <c r="B34">
        <v>1</v>
      </c>
      <c r="C34">
        <v>-0.12766173913787579</v>
      </c>
      <c r="D34">
        <v>0.1630313199742047</v>
      </c>
      <c r="E34">
        <v>3.627330641741358</v>
      </c>
      <c r="F34">
        <v>3.5330249779648408</v>
      </c>
      <c r="G34" s="1">
        <f t="shared" si="0"/>
        <v>3.5801778098530992</v>
      </c>
      <c r="H34" s="1">
        <f t="shared" si="1"/>
        <v>8.4134178531547832</v>
      </c>
      <c r="I34">
        <v>0</v>
      </c>
      <c r="J34">
        <v>0.94722672030551036</v>
      </c>
    </row>
    <row r="35" spans="1:10" x14ac:dyDescent="0.25">
      <c r="A35">
        <v>215</v>
      </c>
      <c r="B35">
        <v>1</v>
      </c>
      <c r="C35">
        <v>5.0262757944415079E-2</v>
      </c>
      <c r="D35">
        <v>-0.11937787272618509</v>
      </c>
      <c r="E35">
        <v>3.584842427897927</v>
      </c>
      <c r="F35">
        <v>3.481451867394266</v>
      </c>
      <c r="G35" s="1">
        <f t="shared" si="0"/>
        <v>3.5331471476460967</v>
      </c>
      <c r="H35" s="1">
        <f t="shared" si="1"/>
        <v>8.3028957969683272</v>
      </c>
      <c r="I35">
        <v>0</v>
      </c>
      <c r="J35">
        <v>1</v>
      </c>
    </row>
    <row r="36" spans="1:10" x14ac:dyDescent="0.25">
      <c r="A36">
        <v>220</v>
      </c>
      <c r="B36">
        <v>1</v>
      </c>
      <c r="C36">
        <v>0.1320084823197146</v>
      </c>
      <c r="D36">
        <v>9.7609999972139028E-3</v>
      </c>
      <c r="E36">
        <v>3.540359441435958</v>
      </c>
      <c r="F36">
        <v>3.4353013357251232</v>
      </c>
      <c r="G36" s="1">
        <f t="shared" si="0"/>
        <v>3.4878303885805408</v>
      </c>
      <c r="H36" s="1">
        <f t="shared" si="1"/>
        <v>8.1964014131642706</v>
      </c>
      <c r="I36">
        <v>0</v>
      </c>
      <c r="J36">
        <v>0.99999999998312783</v>
      </c>
    </row>
    <row r="37" spans="1:10" x14ac:dyDescent="0.25">
      <c r="A37">
        <v>225</v>
      </c>
      <c r="B37">
        <v>1</v>
      </c>
      <c r="C37">
        <v>-1.060485103027352E-2</v>
      </c>
      <c r="D37">
        <v>0.22370682101054781</v>
      </c>
      <c r="E37">
        <v>3.5679515591774589</v>
      </c>
      <c r="F37">
        <v>3.4590954119691428</v>
      </c>
      <c r="G37" s="1">
        <f t="shared" si="0"/>
        <v>3.5135234855733009</v>
      </c>
      <c r="H37" s="1">
        <f t="shared" si="1"/>
        <v>8.256780191097258</v>
      </c>
      <c r="I37">
        <v>0</v>
      </c>
      <c r="J37">
        <v>0.98612066637187679</v>
      </c>
    </row>
    <row r="38" spans="1:10" x14ac:dyDescent="0.25">
      <c r="A38">
        <v>230</v>
      </c>
      <c r="B38">
        <v>1</v>
      </c>
      <c r="C38">
        <v>-5.9730400624287139E-2</v>
      </c>
      <c r="D38">
        <v>-0.19852865037745729</v>
      </c>
      <c r="E38">
        <v>3.5162409592418649</v>
      </c>
      <c r="F38">
        <v>3.3996802504095069</v>
      </c>
      <c r="G38" s="1">
        <f t="shared" si="0"/>
        <v>3.4579606048256859</v>
      </c>
      <c r="H38" s="1">
        <f t="shared" si="1"/>
        <v>8.1262074213403626</v>
      </c>
      <c r="I38">
        <v>0</v>
      </c>
      <c r="J38">
        <v>0.97898257725670368</v>
      </c>
    </row>
    <row r="39" spans="1:10" x14ac:dyDescent="0.25">
      <c r="A39">
        <v>235</v>
      </c>
      <c r="B39">
        <v>1</v>
      </c>
      <c r="C39">
        <v>-2.2123695852259491E-2</v>
      </c>
      <c r="D39">
        <v>-6.2180328571445759E-2</v>
      </c>
      <c r="E39">
        <v>3.4762307924882312</v>
      </c>
      <c r="F39">
        <v>3.351785811515307</v>
      </c>
      <c r="G39" s="1">
        <f t="shared" si="0"/>
        <v>3.4140083020017693</v>
      </c>
      <c r="H39" s="1">
        <f t="shared" si="1"/>
        <v>8.0229195097041579</v>
      </c>
      <c r="I39">
        <v>0</v>
      </c>
      <c r="J39">
        <v>0.98767941130002335</v>
      </c>
    </row>
    <row r="40" spans="1:10" x14ac:dyDescent="0.25">
      <c r="A40">
        <v>240</v>
      </c>
      <c r="B40">
        <v>1</v>
      </c>
      <c r="C40">
        <v>0.21537762748463191</v>
      </c>
      <c r="D40">
        <v>-0.16830927468832249</v>
      </c>
      <c r="E40">
        <v>3.4692320472083211</v>
      </c>
      <c r="F40">
        <v>3.3240771906338882</v>
      </c>
      <c r="G40" s="1">
        <f t="shared" si="0"/>
        <v>3.3966546189211044</v>
      </c>
      <c r="H40" s="1">
        <f t="shared" si="1"/>
        <v>7.9821383544645954</v>
      </c>
      <c r="I40">
        <v>0</v>
      </c>
      <c r="J40">
        <v>0.99999999998756428</v>
      </c>
    </row>
    <row r="41" spans="1:10" x14ac:dyDescent="0.25">
      <c r="A41">
        <v>245</v>
      </c>
      <c r="B41">
        <v>1</v>
      </c>
      <c r="C41">
        <v>8.0156696535342242E-2</v>
      </c>
      <c r="D41">
        <v>-7.7907589042327002E-2</v>
      </c>
      <c r="E41">
        <v>3.298753131902239</v>
      </c>
      <c r="F41">
        <v>3.2531880786967822</v>
      </c>
      <c r="G41" s="1">
        <f t="shared" si="0"/>
        <v>3.2759706052995106</v>
      </c>
      <c r="H41" s="1">
        <f t="shared" si="1"/>
        <v>7.6985309224538501</v>
      </c>
      <c r="I41">
        <v>0</v>
      </c>
      <c r="J41">
        <v>0.99999999998068012</v>
      </c>
    </row>
  </sheetData>
  <mergeCells count="1">
    <mergeCell ref="B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317-CC9F-4BBA-9536-3D76A2324021}">
  <dimension ref="A1:J41"/>
  <sheetViews>
    <sheetView workbookViewId="0">
      <selection activeCell="A2" sqref="A2"/>
    </sheetView>
  </sheetViews>
  <sheetFormatPr defaultRowHeight="15" x14ac:dyDescent="0.25"/>
  <cols>
    <col min="7" max="8" width="15.140625" customWidth="1"/>
  </cols>
  <sheetData>
    <row r="1" spans="1:10" x14ac:dyDescent="0.25">
      <c r="A1" t="s">
        <v>38</v>
      </c>
    </row>
    <row r="2" spans="1:10" x14ac:dyDescent="0.25">
      <c r="A2" t="s">
        <v>39</v>
      </c>
    </row>
    <row r="4" spans="1:10" x14ac:dyDescent="0.25">
      <c r="B4" s="25" t="s">
        <v>24</v>
      </c>
      <c r="C4" s="25"/>
      <c r="D4" s="25"/>
      <c r="E4" s="25"/>
      <c r="F4" s="25"/>
      <c r="G4" s="25"/>
      <c r="H4" s="25"/>
      <c r="I4" s="25"/>
      <c r="J4" s="25"/>
    </row>
    <row r="5" spans="1:10" x14ac:dyDescent="0.25">
      <c r="A5" t="s">
        <v>25</v>
      </c>
      <c r="B5" t="s">
        <v>26</v>
      </c>
      <c r="C5" t="s">
        <v>27</v>
      </c>
      <c r="D5" t="s">
        <v>28</v>
      </c>
      <c r="E5" t="s">
        <v>29</v>
      </c>
      <c r="F5" t="s">
        <v>30</v>
      </c>
      <c r="G5" s="1" t="s">
        <v>31</v>
      </c>
      <c r="H5" s="1" t="s">
        <v>65</v>
      </c>
      <c r="I5" t="s">
        <v>32</v>
      </c>
      <c r="J5" t="s">
        <v>26</v>
      </c>
    </row>
    <row r="6" spans="1:10" x14ac:dyDescent="0.25">
      <c r="A6">
        <v>70</v>
      </c>
      <c r="B6">
        <v>1</v>
      </c>
      <c r="C6">
        <v>0.40409428700551608</v>
      </c>
      <c r="D6">
        <v>0.65825568716244232</v>
      </c>
      <c r="E6">
        <v>5.8928374356833544</v>
      </c>
      <c r="F6">
        <v>5.9926241497560158</v>
      </c>
      <c r="G6" s="1">
        <f>AVERAGE(E6:F6)</f>
        <v>5.9427307927196846</v>
      </c>
      <c r="H6" s="1">
        <f>2.35*G6</f>
        <v>13.965417362891259</v>
      </c>
      <c r="I6">
        <v>0</v>
      </c>
      <c r="J6">
        <v>0.99443154176623183</v>
      </c>
    </row>
    <row r="7" spans="1:10" x14ac:dyDescent="0.25">
      <c r="A7">
        <v>75</v>
      </c>
      <c r="B7">
        <v>1</v>
      </c>
      <c r="C7">
        <v>0.14650046990707269</v>
      </c>
      <c r="D7">
        <v>0.45130897145106719</v>
      </c>
      <c r="E7">
        <v>5.6088312789982471</v>
      </c>
      <c r="F7">
        <v>5.7150609575100386</v>
      </c>
      <c r="G7" s="1">
        <f t="shared" ref="G7:G41" si="0">AVERAGE(E7:F7)</f>
        <v>5.6619461182541428</v>
      </c>
      <c r="H7" s="1">
        <f t="shared" ref="H7:H41" si="1">2.35*G7</f>
        <v>13.305573377897236</v>
      </c>
      <c r="I7">
        <v>0</v>
      </c>
      <c r="J7">
        <v>0.91219660851527362</v>
      </c>
    </row>
    <row r="8" spans="1:10" x14ac:dyDescent="0.25">
      <c r="A8">
        <v>80</v>
      </c>
      <c r="B8">
        <v>1</v>
      </c>
      <c r="C8">
        <v>-6.6346534609915159E-2</v>
      </c>
      <c r="D8">
        <v>-1.206991272553519E-3</v>
      </c>
      <c r="E8">
        <v>5.3612797028811503</v>
      </c>
      <c r="F8">
        <v>5.4794297037442732</v>
      </c>
      <c r="G8" s="1">
        <f t="shared" si="0"/>
        <v>5.4203547033127117</v>
      </c>
      <c r="H8" s="1">
        <f t="shared" si="1"/>
        <v>12.737833552784872</v>
      </c>
      <c r="I8">
        <v>0</v>
      </c>
      <c r="J8">
        <v>0.92184079784104078</v>
      </c>
    </row>
    <row r="9" spans="1:10" x14ac:dyDescent="0.25">
      <c r="A9">
        <v>85</v>
      </c>
      <c r="B9">
        <v>1</v>
      </c>
      <c r="C9">
        <v>0.104197844258757</v>
      </c>
      <c r="D9">
        <v>0.1850354092687802</v>
      </c>
      <c r="E9">
        <v>5.1174231012399316</v>
      </c>
      <c r="F9">
        <v>5.2331505176017332</v>
      </c>
      <c r="G9" s="1">
        <f t="shared" si="0"/>
        <v>5.1752868094208324</v>
      </c>
      <c r="H9" s="1">
        <f t="shared" si="1"/>
        <v>12.161924002138957</v>
      </c>
      <c r="I9">
        <v>0</v>
      </c>
      <c r="J9">
        <v>0.89653413768648327</v>
      </c>
    </row>
    <row r="10" spans="1:10" x14ac:dyDescent="0.25">
      <c r="A10">
        <v>90</v>
      </c>
      <c r="B10">
        <v>1</v>
      </c>
      <c r="C10">
        <v>0.45285544672920092</v>
      </c>
      <c r="D10">
        <v>0.49129658568000839</v>
      </c>
      <c r="E10">
        <v>4.9756407278270984</v>
      </c>
      <c r="F10">
        <v>5.0959866297667311</v>
      </c>
      <c r="G10" s="1">
        <f t="shared" si="0"/>
        <v>5.0358136787969148</v>
      </c>
      <c r="H10" s="1">
        <f t="shared" si="1"/>
        <v>11.834162145172749</v>
      </c>
      <c r="I10">
        <v>0</v>
      </c>
      <c r="J10">
        <v>0.88810183685703048</v>
      </c>
    </row>
    <row r="11" spans="1:10" x14ac:dyDescent="0.25">
      <c r="A11">
        <v>95</v>
      </c>
      <c r="B11">
        <v>1</v>
      </c>
      <c r="C11">
        <v>0.17751296548787951</v>
      </c>
      <c r="D11">
        <v>0.31566801615787188</v>
      </c>
      <c r="E11">
        <v>4.8833937067189526</v>
      </c>
      <c r="F11">
        <v>5.0208083840783093</v>
      </c>
      <c r="G11" s="1">
        <f t="shared" si="0"/>
        <v>4.9521010453986314</v>
      </c>
      <c r="H11" s="1">
        <f t="shared" si="1"/>
        <v>11.637437456686785</v>
      </c>
      <c r="I11">
        <v>0</v>
      </c>
      <c r="J11">
        <v>0.84265593086506474</v>
      </c>
    </row>
    <row r="12" spans="1:10" x14ac:dyDescent="0.25">
      <c r="A12">
        <v>100</v>
      </c>
      <c r="B12">
        <v>1</v>
      </c>
      <c r="C12">
        <v>0.38480092764038099</v>
      </c>
      <c r="D12">
        <v>0.61513338404690032</v>
      </c>
      <c r="E12">
        <v>4.7343611164263741</v>
      </c>
      <c r="F12">
        <v>4.876559652638087</v>
      </c>
      <c r="G12" s="1">
        <f t="shared" si="0"/>
        <v>4.8054603845322301</v>
      </c>
      <c r="H12" s="1">
        <f t="shared" si="1"/>
        <v>11.292831903650741</v>
      </c>
      <c r="I12">
        <v>0</v>
      </c>
      <c r="J12">
        <v>0.86358193653838999</v>
      </c>
    </row>
    <row r="13" spans="1:10" x14ac:dyDescent="0.25">
      <c r="A13">
        <v>105</v>
      </c>
      <c r="B13">
        <v>0.99999999999979605</v>
      </c>
      <c r="C13">
        <v>9.9678778898561693E-2</v>
      </c>
      <c r="D13">
        <v>0.31854810677518303</v>
      </c>
      <c r="E13">
        <v>4.656769030042982</v>
      </c>
      <c r="F13">
        <v>4.8205984947640328</v>
      </c>
      <c r="G13" s="1">
        <f t="shared" si="0"/>
        <v>4.7386837624035074</v>
      </c>
      <c r="H13" s="1">
        <f t="shared" si="1"/>
        <v>11.135906841648243</v>
      </c>
      <c r="I13">
        <v>0</v>
      </c>
      <c r="J13">
        <v>0.92133888554921006</v>
      </c>
    </row>
    <row r="14" spans="1:10" x14ac:dyDescent="0.25">
      <c r="A14">
        <v>110</v>
      </c>
      <c r="B14">
        <v>1</v>
      </c>
      <c r="C14">
        <v>8.9726780157808064E-2</v>
      </c>
      <c r="D14">
        <v>0.25079108071259121</v>
      </c>
      <c r="E14">
        <v>4.4528737200021009</v>
      </c>
      <c r="F14">
        <v>4.6322702738079311</v>
      </c>
      <c r="G14" s="1">
        <f t="shared" si="0"/>
        <v>4.542571996905016</v>
      </c>
      <c r="H14" s="1">
        <f t="shared" si="1"/>
        <v>10.675044192726787</v>
      </c>
      <c r="I14">
        <v>0</v>
      </c>
      <c r="J14">
        <v>0.92411597086846542</v>
      </c>
    </row>
    <row r="15" spans="1:10" x14ac:dyDescent="0.25">
      <c r="A15">
        <v>115</v>
      </c>
      <c r="B15">
        <v>0.99999999999988298</v>
      </c>
      <c r="C15">
        <v>5.566364274622352E-2</v>
      </c>
      <c r="D15">
        <v>0.42425458385738041</v>
      </c>
      <c r="E15">
        <v>4.3526933848635219</v>
      </c>
      <c r="F15">
        <v>4.5770756456047499</v>
      </c>
      <c r="G15" s="1">
        <f t="shared" si="0"/>
        <v>4.4648845152341359</v>
      </c>
      <c r="H15" s="1">
        <f t="shared" si="1"/>
        <v>10.492478610800219</v>
      </c>
      <c r="I15">
        <v>0</v>
      </c>
      <c r="J15">
        <v>0.94050633589820942</v>
      </c>
    </row>
    <row r="16" spans="1:10" x14ac:dyDescent="0.25">
      <c r="A16">
        <v>120</v>
      </c>
      <c r="B16">
        <v>0.99999999995598465</v>
      </c>
      <c r="C16">
        <v>0.32148499818572501</v>
      </c>
      <c r="D16">
        <v>0.43144826273278958</v>
      </c>
      <c r="E16">
        <v>4.2532469922072593</v>
      </c>
      <c r="F16">
        <v>4.5143766899262312</v>
      </c>
      <c r="G16" s="1">
        <f t="shared" si="0"/>
        <v>4.3838118410667448</v>
      </c>
      <c r="H16" s="1">
        <f t="shared" si="1"/>
        <v>10.30195782650685</v>
      </c>
      <c r="I16">
        <v>0</v>
      </c>
      <c r="J16">
        <v>0.88805894271960151</v>
      </c>
    </row>
    <row r="17" spans="1:10" x14ac:dyDescent="0.25">
      <c r="A17">
        <v>125</v>
      </c>
      <c r="B17">
        <v>1</v>
      </c>
      <c r="C17">
        <v>3.9925142793043343E-2</v>
      </c>
      <c r="D17">
        <v>0.13364526266273119</v>
      </c>
      <c r="E17">
        <v>4.1592972597861566</v>
      </c>
      <c r="F17">
        <v>4.4631192664958279</v>
      </c>
      <c r="G17" s="1">
        <f t="shared" si="0"/>
        <v>4.3112082631409923</v>
      </c>
      <c r="H17" s="1">
        <f t="shared" si="1"/>
        <v>10.131339418381332</v>
      </c>
      <c r="I17">
        <v>0</v>
      </c>
      <c r="J17">
        <v>0.90208865441050556</v>
      </c>
    </row>
    <row r="18" spans="1:10" x14ac:dyDescent="0.25">
      <c r="A18">
        <v>130</v>
      </c>
      <c r="B18">
        <v>1</v>
      </c>
      <c r="C18">
        <v>7.8585915495692896E-2</v>
      </c>
      <c r="D18">
        <v>0.49748714837060598</v>
      </c>
      <c r="E18">
        <v>4.069248526923201</v>
      </c>
      <c r="F18">
        <v>4.4088687654901113</v>
      </c>
      <c r="G18" s="1">
        <f t="shared" si="0"/>
        <v>4.2390586462066562</v>
      </c>
      <c r="H18" s="1">
        <f t="shared" si="1"/>
        <v>9.961787818585643</v>
      </c>
      <c r="I18">
        <v>0</v>
      </c>
      <c r="J18">
        <v>0.89687066183152853</v>
      </c>
    </row>
    <row r="19" spans="1:10" x14ac:dyDescent="0.25">
      <c r="A19">
        <v>135</v>
      </c>
      <c r="B19">
        <v>1</v>
      </c>
      <c r="C19">
        <v>0.30770776784809623</v>
      </c>
      <c r="D19">
        <v>0.24001284375708981</v>
      </c>
      <c r="E19">
        <v>3.9873368900557731</v>
      </c>
      <c r="F19">
        <v>4.3577989953271157</v>
      </c>
      <c r="G19" s="1">
        <f t="shared" si="0"/>
        <v>4.1725679426914439</v>
      </c>
      <c r="H19" s="1">
        <f t="shared" si="1"/>
        <v>9.8055346653248936</v>
      </c>
      <c r="I19">
        <v>0</v>
      </c>
      <c r="J19">
        <v>0.92693846089515208</v>
      </c>
    </row>
    <row r="20" spans="1:10" x14ac:dyDescent="0.25">
      <c r="A20">
        <v>140</v>
      </c>
      <c r="B20">
        <v>1</v>
      </c>
      <c r="C20">
        <v>-1.169550560941026E-2</v>
      </c>
      <c r="D20">
        <v>0.53467007184189774</v>
      </c>
      <c r="E20">
        <v>3.9086442687473779</v>
      </c>
      <c r="F20">
        <v>4.3023895928533031</v>
      </c>
      <c r="G20" s="1">
        <f t="shared" si="0"/>
        <v>4.1055169308003405</v>
      </c>
      <c r="H20" s="1">
        <f t="shared" si="1"/>
        <v>9.6479647873808005</v>
      </c>
      <c r="I20">
        <v>0</v>
      </c>
      <c r="J20">
        <v>0.91580861270962044</v>
      </c>
    </row>
    <row r="21" spans="1:10" x14ac:dyDescent="0.25">
      <c r="A21">
        <v>145</v>
      </c>
      <c r="B21">
        <v>1</v>
      </c>
      <c r="C21">
        <v>0.13250051311690261</v>
      </c>
      <c r="D21">
        <v>0.23723394031027609</v>
      </c>
      <c r="E21">
        <v>3.857460281626091</v>
      </c>
      <c r="F21">
        <v>4.2761342929182504</v>
      </c>
      <c r="G21" s="1">
        <f t="shared" si="0"/>
        <v>4.0667972872721707</v>
      </c>
      <c r="H21" s="1">
        <f t="shared" si="1"/>
        <v>9.5569736250896007</v>
      </c>
      <c r="I21">
        <v>0</v>
      </c>
      <c r="J21">
        <v>1</v>
      </c>
    </row>
    <row r="22" spans="1:10" x14ac:dyDescent="0.25">
      <c r="A22">
        <v>150</v>
      </c>
      <c r="B22">
        <v>1</v>
      </c>
      <c r="C22">
        <v>8.4068843743038916E-3</v>
      </c>
      <c r="D22">
        <v>0.48367363957752918</v>
      </c>
      <c r="E22">
        <v>3.769523174146034</v>
      </c>
      <c r="F22">
        <v>4.1964709919498508</v>
      </c>
      <c r="G22" s="1">
        <f t="shared" si="0"/>
        <v>3.9829970830479424</v>
      </c>
      <c r="H22" s="1">
        <f t="shared" si="1"/>
        <v>9.3600431451626651</v>
      </c>
      <c r="I22">
        <v>0</v>
      </c>
      <c r="J22">
        <v>1</v>
      </c>
    </row>
    <row r="23" spans="1:10" x14ac:dyDescent="0.25">
      <c r="A23">
        <v>155</v>
      </c>
      <c r="B23">
        <v>1</v>
      </c>
      <c r="C23">
        <v>2.5538435020119191E-3</v>
      </c>
      <c r="D23">
        <v>4.3637310924048447E-2</v>
      </c>
      <c r="E23">
        <v>3.690527412130526</v>
      </c>
      <c r="F23">
        <v>4.1132164357637846</v>
      </c>
      <c r="G23" s="1">
        <f t="shared" si="0"/>
        <v>3.9018719239471551</v>
      </c>
      <c r="H23" s="1">
        <f t="shared" si="1"/>
        <v>9.1693990212758152</v>
      </c>
      <c r="I23">
        <v>0</v>
      </c>
      <c r="J23">
        <v>1</v>
      </c>
    </row>
    <row r="24" spans="1:10" x14ac:dyDescent="0.25">
      <c r="A24">
        <v>160</v>
      </c>
      <c r="B24">
        <v>0.99999999999971745</v>
      </c>
      <c r="C24">
        <v>0.19286052858293681</v>
      </c>
      <c r="D24">
        <v>0.22239170391680249</v>
      </c>
      <c r="E24">
        <v>3.662775894079926</v>
      </c>
      <c r="F24">
        <v>4.0856122141061766</v>
      </c>
      <c r="G24" s="1">
        <f t="shared" si="0"/>
        <v>3.8741940540930511</v>
      </c>
      <c r="H24" s="1">
        <f t="shared" si="1"/>
        <v>9.104356027118671</v>
      </c>
      <c r="I24">
        <v>0</v>
      </c>
      <c r="J24">
        <v>0.94235608555877715</v>
      </c>
    </row>
    <row r="25" spans="1:10" x14ac:dyDescent="0.25">
      <c r="A25">
        <v>165</v>
      </c>
      <c r="B25">
        <v>0.99999999999991607</v>
      </c>
      <c r="C25">
        <v>0.1610017584715264</v>
      </c>
      <c r="D25">
        <v>0.34644414107287858</v>
      </c>
      <c r="E25">
        <v>3.6173356978886142</v>
      </c>
      <c r="F25">
        <v>4.0089038300138879</v>
      </c>
      <c r="G25" s="1">
        <f t="shared" si="0"/>
        <v>3.8131197639512511</v>
      </c>
      <c r="H25" s="1">
        <f t="shared" si="1"/>
        <v>8.9608314452854412</v>
      </c>
      <c r="I25">
        <v>0</v>
      </c>
      <c r="J25">
        <v>1</v>
      </c>
    </row>
    <row r="26" spans="1:10" x14ac:dyDescent="0.25">
      <c r="A26">
        <v>170</v>
      </c>
      <c r="B26">
        <v>1</v>
      </c>
      <c r="C26">
        <v>3.090121954806449E-2</v>
      </c>
      <c r="D26">
        <v>0.31296350517226951</v>
      </c>
      <c r="E26">
        <v>3.583131494672819</v>
      </c>
      <c r="F26">
        <v>3.9541496096939799</v>
      </c>
      <c r="G26" s="1">
        <f t="shared" si="0"/>
        <v>3.7686405521833994</v>
      </c>
      <c r="H26" s="1">
        <f t="shared" si="1"/>
        <v>8.8563052976309891</v>
      </c>
      <c r="I26">
        <v>0</v>
      </c>
      <c r="J26">
        <v>0.99999999725237865</v>
      </c>
    </row>
    <row r="27" spans="1:10" x14ac:dyDescent="0.25">
      <c r="A27">
        <v>175</v>
      </c>
      <c r="B27">
        <v>1</v>
      </c>
      <c r="C27">
        <v>9.3574774943722058E-2</v>
      </c>
      <c r="D27">
        <v>8.8816484201742221E-2</v>
      </c>
      <c r="E27">
        <v>3.572149510530187</v>
      </c>
      <c r="F27">
        <v>3.920945377757576</v>
      </c>
      <c r="G27" s="1">
        <f t="shared" si="0"/>
        <v>3.7465474441438813</v>
      </c>
      <c r="H27" s="1">
        <f t="shared" si="1"/>
        <v>8.8043864937381215</v>
      </c>
      <c r="I27">
        <v>0</v>
      </c>
      <c r="J27">
        <v>0.89833082907254014</v>
      </c>
    </row>
    <row r="28" spans="1:10" x14ac:dyDescent="0.25">
      <c r="A28">
        <v>180</v>
      </c>
      <c r="B28">
        <v>1</v>
      </c>
      <c r="C28">
        <v>0.11896887250481369</v>
      </c>
      <c r="D28">
        <v>0.13731261505918579</v>
      </c>
      <c r="E28">
        <v>3.543324933316979</v>
      </c>
      <c r="F28">
        <v>3.8811278913461038</v>
      </c>
      <c r="G28" s="1">
        <f t="shared" si="0"/>
        <v>3.7122264123315416</v>
      </c>
      <c r="H28" s="1">
        <f t="shared" si="1"/>
        <v>8.7237320689791229</v>
      </c>
      <c r="I28">
        <v>0</v>
      </c>
      <c r="J28">
        <v>1</v>
      </c>
    </row>
    <row r="29" spans="1:10" x14ac:dyDescent="0.25">
      <c r="A29">
        <v>185</v>
      </c>
      <c r="B29">
        <v>0.99999999999679956</v>
      </c>
      <c r="C29">
        <v>0.17747970837897431</v>
      </c>
      <c r="D29">
        <v>0.25068913171274271</v>
      </c>
      <c r="E29">
        <v>3.537755762128699</v>
      </c>
      <c r="F29">
        <v>3.864641969485541</v>
      </c>
      <c r="G29" s="1">
        <f t="shared" si="0"/>
        <v>3.70119886580712</v>
      </c>
      <c r="H29" s="1">
        <f t="shared" si="1"/>
        <v>8.6978173346467322</v>
      </c>
      <c r="I29">
        <v>0</v>
      </c>
      <c r="J29">
        <v>1</v>
      </c>
    </row>
    <row r="30" spans="1:10" x14ac:dyDescent="0.25">
      <c r="A30">
        <v>190</v>
      </c>
      <c r="B30">
        <v>1</v>
      </c>
      <c r="C30">
        <v>4.44812040035443E-2</v>
      </c>
      <c r="D30">
        <v>8.7336574349912405E-2</v>
      </c>
      <c r="E30">
        <v>3.5364474054007689</v>
      </c>
      <c r="F30">
        <v>3.8458815553189019</v>
      </c>
      <c r="G30" s="1">
        <f t="shared" si="0"/>
        <v>3.6911644803598351</v>
      </c>
      <c r="H30" s="1">
        <f t="shared" si="1"/>
        <v>8.6742365288456131</v>
      </c>
      <c r="I30">
        <v>0</v>
      </c>
      <c r="J30">
        <v>0.9999999998320831</v>
      </c>
    </row>
    <row r="31" spans="1:10" x14ac:dyDescent="0.25">
      <c r="A31">
        <v>195</v>
      </c>
      <c r="B31">
        <v>0.99999999999963685</v>
      </c>
      <c r="C31">
        <v>4.112151866646329E-2</v>
      </c>
      <c r="D31">
        <v>0.24312344477717401</v>
      </c>
      <c r="E31">
        <v>3.533194666932653</v>
      </c>
      <c r="F31">
        <v>3.8285056798598971</v>
      </c>
      <c r="G31" s="1">
        <f t="shared" si="0"/>
        <v>3.6808501733962751</v>
      </c>
      <c r="H31" s="1">
        <f t="shared" si="1"/>
        <v>8.6499979074812465</v>
      </c>
      <c r="I31">
        <v>0</v>
      </c>
      <c r="J31">
        <v>0.99999999999300226</v>
      </c>
    </row>
    <row r="32" spans="1:10" x14ac:dyDescent="0.25">
      <c r="A32">
        <v>200</v>
      </c>
      <c r="B32">
        <v>0.99999999990951849</v>
      </c>
      <c r="C32">
        <v>0.1822395639738188</v>
      </c>
      <c r="D32">
        <v>2.6370451602943708E-2</v>
      </c>
      <c r="E32">
        <v>3.4957159558986208</v>
      </c>
      <c r="F32">
        <v>3.7777559163693</v>
      </c>
      <c r="G32" s="1">
        <f t="shared" si="0"/>
        <v>3.6367359361339604</v>
      </c>
      <c r="H32" s="1">
        <f t="shared" si="1"/>
        <v>8.5463294499148077</v>
      </c>
      <c r="I32">
        <v>0</v>
      </c>
      <c r="J32">
        <v>0.9241486230088537</v>
      </c>
    </row>
    <row r="33" spans="1:10" x14ac:dyDescent="0.25">
      <c r="A33">
        <v>205</v>
      </c>
      <c r="B33">
        <v>1</v>
      </c>
      <c r="C33">
        <v>9.3400322704398187E-2</v>
      </c>
      <c r="D33">
        <v>0.33638683667308161</v>
      </c>
      <c r="E33">
        <v>3.42521315158384</v>
      </c>
      <c r="F33">
        <v>3.683217802916285</v>
      </c>
      <c r="G33" s="1">
        <f t="shared" si="0"/>
        <v>3.5542154772500627</v>
      </c>
      <c r="H33" s="1">
        <f t="shared" si="1"/>
        <v>8.3524063715376471</v>
      </c>
      <c r="I33">
        <v>0</v>
      </c>
      <c r="J33">
        <v>0.99999999997964806</v>
      </c>
    </row>
    <row r="34" spans="1:10" x14ac:dyDescent="0.25">
      <c r="A34">
        <v>210</v>
      </c>
      <c r="B34">
        <v>1</v>
      </c>
      <c r="C34">
        <v>8.2576643011850859E-2</v>
      </c>
      <c r="D34">
        <v>5.3710678141374688E-2</v>
      </c>
      <c r="E34">
        <v>3.4306622277142771</v>
      </c>
      <c r="F34">
        <v>3.6762304190851278</v>
      </c>
      <c r="G34" s="1">
        <f t="shared" si="0"/>
        <v>3.5534463233997027</v>
      </c>
      <c r="H34" s="1">
        <f t="shared" si="1"/>
        <v>8.3505988599893008</v>
      </c>
      <c r="I34">
        <v>0</v>
      </c>
      <c r="J34">
        <v>0.8951489789828776</v>
      </c>
    </row>
    <row r="35" spans="1:10" x14ac:dyDescent="0.25">
      <c r="A35">
        <v>215</v>
      </c>
      <c r="B35">
        <v>1</v>
      </c>
      <c r="C35">
        <v>0.12917450128857819</v>
      </c>
      <c r="D35">
        <v>0.26479611286118149</v>
      </c>
      <c r="E35">
        <v>3.4276807010258969</v>
      </c>
      <c r="F35">
        <v>3.6611929307362678</v>
      </c>
      <c r="G35" s="1">
        <f t="shared" si="0"/>
        <v>3.5444368158810824</v>
      </c>
      <c r="H35" s="1">
        <f t="shared" si="1"/>
        <v>8.3294265173205435</v>
      </c>
      <c r="I35">
        <v>0</v>
      </c>
      <c r="J35">
        <v>1</v>
      </c>
    </row>
    <row r="36" spans="1:10" x14ac:dyDescent="0.25">
      <c r="A36">
        <v>220</v>
      </c>
      <c r="B36">
        <v>1</v>
      </c>
      <c r="C36">
        <v>0.1071422811146493</v>
      </c>
      <c r="D36">
        <v>0.120432629552361</v>
      </c>
      <c r="E36">
        <v>3.3765079727909479</v>
      </c>
      <c r="F36">
        <v>3.5692873378804268</v>
      </c>
      <c r="G36" s="1">
        <f t="shared" si="0"/>
        <v>3.4728976553356876</v>
      </c>
      <c r="H36" s="1">
        <f t="shared" si="1"/>
        <v>8.1613094900388656</v>
      </c>
      <c r="I36">
        <v>0</v>
      </c>
      <c r="J36">
        <v>0.96855614633338494</v>
      </c>
    </row>
    <row r="37" spans="1:10" x14ac:dyDescent="0.25">
      <c r="A37">
        <v>225</v>
      </c>
      <c r="B37">
        <v>1</v>
      </c>
      <c r="C37">
        <v>0.16344649551868359</v>
      </c>
      <c r="D37">
        <v>9.6463658293227075E-2</v>
      </c>
      <c r="E37">
        <v>3.3271558083333561</v>
      </c>
      <c r="F37">
        <v>3.4872671219663869</v>
      </c>
      <c r="G37" s="1">
        <f t="shared" si="0"/>
        <v>3.4072114651498717</v>
      </c>
      <c r="H37" s="1">
        <f t="shared" si="1"/>
        <v>8.0069469431021982</v>
      </c>
      <c r="I37">
        <v>0</v>
      </c>
      <c r="J37">
        <v>0.99999999999999978</v>
      </c>
    </row>
    <row r="38" spans="1:10" x14ac:dyDescent="0.25">
      <c r="A38">
        <v>230</v>
      </c>
      <c r="B38">
        <v>1</v>
      </c>
      <c r="C38">
        <v>0.3822684690345422</v>
      </c>
      <c r="D38">
        <v>0.16321890329504671</v>
      </c>
      <c r="E38">
        <v>3.324444526720236</v>
      </c>
      <c r="F38">
        <v>3.462691711121102</v>
      </c>
      <c r="G38" s="1">
        <f t="shared" si="0"/>
        <v>3.393568118920669</v>
      </c>
      <c r="H38" s="1">
        <f t="shared" si="1"/>
        <v>7.9748850794635722</v>
      </c>
      <c r="I38">
        <v>0</v>
      </c>
      <c r="J38">
        <v>0.9999999999943362</v>
      </c>
    </row>
    <row r="39" spans="1:10" x14ac:dyDescent="0.25">
      <c r="A39">
        <v>235</v>
      </c>
      <c r="B39">
        <v>1</v>
      </c>
      <c r="C39">
        <v>5.2218974207152331E-2</v>
      </c>
      <c r="D39">
        <v>0.20178675895411721</v>
      </c>
      <c r="E39">
        <v>3.308761377315891</v>
      </c>
      <c r="F39">
        <v>3.4358299116856892</v>
      </c>
      <c r="G39" s="1">
        <f t="shared" si="0"/>
        <v>3.3722956445007899</v>
      </c>
      <c r="H39" s="1">
        <f t="shared" si="1"/>
        <v>7.9248947645768562</v>
      </c>
      <c r="I39">
        <v>0</v>
      </c>
      <c r="J39">
        <v>0.99999999969083364</v>
      </c>
    </row>
    <row r="40" spans="1:10" x14ac:dyDescent="0.25">
      <c r="A40">
        <v>240</v>
      </c>
      <c r="B40">
        <v>1</v>
      </c>
      <c r="C40">
        <v>1.27070551494667E-3</v>
      </c>
      <c r="D40">
        <v>0.28929591925635528</v>
      </c>
      <c r="E40">
        <v>3.3264421554162209</v>
      </c>
      <c r="F40">
        <v>3.4382433816487921</v>
      </c>
      <c r="G40" s="1">
        <f t="shared" si="0"/>
        <v>3.3823427685325065</v>
      </c>
      <c r="H40" s="1">
        <f t="shared" si="1"/>
        <v>7.9485055060513909</v>
      </c>
      <c r="I40">
        <v>0</v>
      </c>
      <c r="J40">
        <v>0.99999999999999512</v>
      </c>
    </row>
    <row r="41" spans="1:10" x14ac:dyDescent="0.25">
      <c r="A41">
        <v>245</v>
      </c>
      <c r="B41">
        <v>1</v>
      </c>
      <c r="C41">
        <v>0.2241855120553021</v>
      </c>
      <c r="D41">
        <v>-0.2277889536379395</v>
      </c>
      <c r="E41">
        <v>3.3418273820013011</v>
      </c>
      <c r="F41">
        <v>3.4600276460144781</v>
      </c>
      <c r="G41" s="1">
        <f t="shared" si="0"/>
        <v>3.4009275140078898</v>
      </c>
      <c r="H41" s="1">
        <f t="shared" si="1"/>
        <v>7.9921796579185411</v>
      </c>
      <c r="I41">
        <v>0</v>
      </c>
      <c r="J41">
        <v>1</v>
      </c>
    </row>
  </sheetData>
  <mergeCells count="1">
    <mergeCell ref="B4:J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61D-EE22-4C83-B3BD-D6CC98F95B31}">
  <dimension ref="A1:AA41"/>
  <sheetViews>
    <sheetView tabSelected="1" workbookViewId="0">
      <selection activeCell="U16" sqref="U16"/>
    </sheetView>
  </sheetViews>
  <sheetFormatPr defaultRowHeight="15" x14ac:dyDescent="0.25"/>
  <cols>
    <col min="7" max="7" width="12.5703125" customWidth="1"/>
    <col min="20" max="20" width="15.7109375" bestFit="1" customWidth="1"/>
    <col min="21" max="25" width="16.42578125" bestFit="1" customWidth="1"/>
    <col min="26" max="26" width="15.7109375" bestFit="1" customWidth="1"/>
    <col min="27" max="27" width="16.42578125" bestFit="1" customWidth="1"/>
  </cols>
  <sheetData>
    <row r="1" spans="1:27" x14ac:dyDescent="0.25">
      <c r="A1" t="s">
        <v>40</v>
      </c>
    </row>
    <row r="2" spans="1:27" x14ac:dyDescent="0.25">
      <c r="A2" t="s">
        <v>41</v>
      </c>
    </row>
    <row r="4" spans="1:27" x14ac:dyDescent="0.25">
      <c r="B4" s="25" t="s">
        <v>24</v>
      </c>
      <c r="C4" s="25"/>
      <c r="D4" s="25"/>
      <c r="E4" s="25"/>
      <c r="F4" s="25"/>
      <c r="G4" s="25"/>
      <c r="H4" s="25"/>
      <c r="I4" s="25"/>
    </row>
    <row r="5" spans="1:27" x14ac:dyDescent="0.25">
      <c r="A5" t="s">
        <v>25</v>
      </c>
      <c r="B5" t="s">
        <v>26</v>
      </c>
      <c r="C5" t="s">
        <v>27</v>
      </c>
      <c r="D5" t="s">
        <v>28</v>
      </c>
      <c r="E5" t="s">
        <v>29</v>
      </c>
      <c r="F5" t="s">
        <v>30</v>
      </c>
      <c r="G5" s="1" t="s">
        <v>31</v>
      </c>
      <c r="H5" t="s">
        <v>32</v>
      </c>
      <c r="I5" t="s">
        <v>26</v>
      </c>
      <c r="K5" s="5"/>
      <c r="L5" s="5"/>
      <c r="M5" s="5"/>
      <c r="N5" s="5"/>
      <c r="O5" s="5"/>
      <c r="P5" s="5"/>
      <c r="Q5" s="5"/>
      <c r="R5" s="5"/>
    </row>
    <row r="6" spans="1:27" x14ac:dyDescent="0.25">
      <c r="A6">
        <v>70</v>
      </c>
      <c r="B6">
        <v>1</v>
      </c>
      <c r="C6">
        <v>0.44936389489892781</v>
      </c>
      <c r="D6">
        <v>0.80259478440219323</v>
      </c>
      <c r="E6">
        <v>6.1822927901555458</v>
      </c>
      <c r="F6">
        <v>5.9363587407036711</v>
      </c>
      <c r="G6" s="1">
        <f>AVERAGE(E6:F6)</f>
        <v>6.0593257654296089</v>
      </c>
      <c r="H6">
        <v>0</v>
      </c>
      <c r="I6">
        <v>0.89751043853176238</v>
      </c>
      <c r="K6" s="5"/>
      <c r="L6" s="5"/>
      <c r="M6" s="5"/>
      <c r="N6" s="5"/>
      <c r="O6" s="5"/>
      <c r="P6" s="5"/>
      <c r="Q6" s="5"/>
      <c r="R6" s="5"/>
      <c r="T6" s="9"/>
      <c r="U6" s="9"/>
      <c r="V6" s="9"/>
      <c r="W6" s="9"/>
      <c r="X6" s="9"/>
      <c r="Y6" s="9"/>
      <c r="Z6" s="9"/>
      <c r="AA6" s="9"/>
    </row>
    <row r="7" spans="1:27" x14ac:dyDescent="0.25">
      <c r="A7">
        <v>75</v>
      </c>
      <c r="B7">
        <v>1</v>
      </c>
      <c r="C7">
        <v>0.52911771584501965</v>
      </c>
      <c r="D7">
        <v>0.91595637415507813</v>
      </c>
      <c r="E7">
        <v>5.8951914353206654</v>
      </c>
      <c r="F7">
        <v>5.7328777407951907</v>
      </c>
      <c r="G7" s="1">
        <f t="shared" ref="G7:G41" si="0">AVERAGE(E7:F7)</f>
        <v>5.8140345880579281</v>
      </c>
      <c r="H7">
        <v>0</v>
      </c>
      <c r="I7">
        <v>0.91352799599540668</v>
      </c>
      <c r="K7" s="5"/>
      <c r="L7" s="5"/>
      <c r="M7" s="5"/>
      <c r="N7" s="5"/>
      <c r="O7" s="5"/>
      <c r="P7" s="5"/>
      <c r="Q7" s="5"/>
      <c r="R7" s="5"/>
      <c r="T7" s="9"/>
      <c r="U7" s="9"/>
      <c r="V7" s="9"/>
      <c r="W7" s="9"/>
      <c r="X7" s="9"/>
      <c r="Y7" s="9"/>
      <c r="Z7" s="9"/>
      <c r="AA7" s="9"/>
    </row>
    <row r="8" spans="1:27" x14ac:dyDescent="0.25">
      <c r="A8">
        <v>80</v>
      </c>
      <c r="B8">
        <v>1</v>
      </c>
      <c r="C8">
        <v>0.23556690461446431</v>
      </c>
      <c r="D8">
        <v>0.47216503100305851</v>
      </c>
      <c r="E8">
        <v>5.5998680415905149</v>
      </c>
      <c r="F8">
        <v>5.4969481976425492</v>
      </c>
      <c r="G8" s="1">
        <f t="shared" si="0"/>
        <v>5.548408119616532</v>
      </c>
      <c r="H8">
        <v>0</v>
      </c>
      <c r="I8">
        <v>0.89928389495520367</v>
      </c>
      <c r="K8" s="5"/>
      <c r="L8" s="5"/>
      <c r="M8" s="5"/>
      <c r="N8" s="5"/>
      <c r="O8" s="5"/>
      <c r="P8" s="5"/>
      <c r="Q8" s="5"/>
      <c r="R8" s="5"/>
      <c r="T8" s="9"/>
      <c r="U8" s="9"/>
      <c r="V8" s="9"/>
      <c r="W8" s="9"/>
      <c r="X8" s="9"/>
      <c r="Y8" s="9"/>
      <c r="Z8" s="9"/>
      <c r="AA8" s="9"/>
    </row>
    <row r="9" spans="1:27" x14ac:dyDescent="0.25">
      <c r="A9">
        <v>85</v>
      </c>
      <c r="B9">
        <v>1</v>
      </c>
      <c r="C9">
        <v>0.18546074991764311</v>
      </c>
      <c r="D9">
        <v>0.3138511942644629</v>
      </c>
      <c r="E9">
        <v>5.3961201203331743</v>
      </c>
      <c r="F9">
        <v>5.3048446578716124</v>
      </c>
      <c r="G9" s="1">
        <f t="shared" si="0"/>
        <v>5.3504823891023934</v>
      </c>
      <c r="H9">
        <v>0</v>
      </c>
      <c r="I9">
        <v>0.95976387440430999</v>
      </c>
      <c r="K9" s="5"/>
      <c r="L9" s="5"/>
      <c r="M9" s="5"/>
      <c r="N9" s="5"/>
      <c r="O9" s="5"/>
      <c r="P9" s="5"/>
      <c r="Q9" s="5"/>
      <c r="R9" s="5"/>
      <c r="T9" s="9"/>
      <c r="U9" s="9"/>
      <c r="V9" s="9"/>
      <c r="W9" s="9"/>
      <c r="X9" s="9"/>
      <c r="Y9" s="9"/>
      <c r="Z9" s="9"/>
      <c r="AA9" s="9"/>
    </row>
    <row r="10" spans="1:27" x14ac:dyDescent="0.25">
      <c r="A10">
        <v>90</v>
      </c>
      <c r="B10">
        <v>1</v>
      </c>
      <c r="C10">
        <v>0.1731925037310639</v>
      </c>
      <c r="D10">
        <v>0.534942729342617</v>
      </c>
      <c r="E10">
        <v>5.2920327987949829</v>
      </c>
      <c r="F10">
        <v>5.1747787846900009</v>
      </c>
      <c r="G10" s="1">
        <f t="shared" si="0"/>
        <v>5.2334057917424914</v>
      </c>
      <c r="H10">
        <v>0</v>
      </c>
      <c r="I10">
        <v>0.90178954035558079</v>
      </c>
      <c r="K10" s="5"/>
      <c r="L10" s="5"/>
      <c r="M10" s="5"/>
      <c r="N10" s="5"/>
      <c r="O10" s="5"/>
      <c r="P10" s="5"/>
      <c r="Q10" s="5"/>
      <c r="R10" s="5"/>
      <c r="T10" s="9"/>
      <c r="U10" s="9"/>
      <c r="V10" s="9"/>
      <c r="W10" s="9"/>
      <c r="X10" s="9"/>
      <c r="Y10" s="9"/>
      <c r="Z10" s="9"/>
      <c r="AA10" s="9"/>
    </row>
    <row r="11" spans="1:27" x14ac:dyDescent="0.25">
      <c r="A11">
        <v>95</v>
      </c>
      <c r="B11">
        <v>1</v>
      </c>
      <c r="C11">
        <v>-5.1513558104411702E-2</v>
      </c>
      <c r="D11">
        <v>0.26071980868590622</v>
      </c>
      <c r="E11">
        <v>5.0782630592255806</v>
      </c>
      <c r="F11">
        <v>4.9274656697639454</v>
      </c>
      <c r="G11" s="1">
        <f t="shared" si="0"/>
        <v>5.002864364494763</v>
      </c>
      <c r="H11">
        <v>0</v>
      </c>
      <c r="I11">
        <v>0.84643320641833231</v>
      </c>
      <c r="K11" s="5"/>
      <c r="L11" s="5"/>
      <c r="M11" s="5"/>
      <c r="N11" s="5"/>
      <c r="O11" s="5"/>
      <c r="P11" s="5"/>
      <c r="Q11" s="5"/>
      <c r="R11" s="5"/>
      <c r="T11" s="9"/>
      <c r="U11" s="9"/>
      <c r="V11" s="9"/>
      <c r="W11" s="9"/>
      <c r="X11" s="9"/>
      <c r="Y11" s="9"/>
      <c r="Z11" s="9"/>
      <c r="AA11" s="9"/>
    </row>
    <row r="12" spans="1:27" x14ac:dyDescent="0.25">
      <c r="A12">
        <v>100</v>
      </c>
      <c r="B12">
        <v>1</v>
      </c>
      <c r="C12">
        <v>1.187025652753022E-2</v>
      </c>
      <c r="D12">
        <v>0.35938166767662538</v>
      </c>
      <c r="E12">
        <v>5.0232421100176508</v>
      </c>
      <c r="F12">
        <v>4.8275263436920239</v>
      </c>
      <c r="G12" s="1">
        <f t="shared" si="0"/>
        <v>4.9253842268548373</v>
      </c>
      <c r="H12">
        <v>0</v>
      </c>
      <c r="I12">
        <v>0.98899076035347333</v>
      </c>
      <c r="K12" s="5"/>
      <c r="L12" s="5"/>
      <c r="M12" s="5"/>
      <c r="N12" s="5"/>
      <c r="O12" s="5"/>
      <c r="P12" s="5"/>
      <c r="Q12" s="5"/>
      <c r="R12" s="5"/>
      <c r="T12" s="9"/>
      <c r="U12" s="9"/>
      <c r="V12" s="9"/>
      <c r="W12" s="9"/>
      <c r="X12" s="9"/>
      <c r="Y12" s="9"/>
      <c r="Z12" s="9"/>
      <c r="AA12" s="9"/>
    </row>
    <row r="13" spans="1:27" x14ac:dyDescent="0.25">
      <c r="A13">
        <v>105</v>
      </c>
      <c r="B13">
        <v>1</v>
      </c>
      <c r="C13">
        <v>0.25420697649784818</v>
      </c>
      <c r="D13">
        <v>0.1939840626708588</v>
      </c>
      <c r="E13">
        <v>4.8533795253494922</v>
      </c>
      <c r="F13">
        <v>4.6167637047378394</v>
      </c>
      <c r="G13" s="1">
        <f t="shared" si="0"/>
        <v>4.7350716150436654</v>
      </c>
      <c r="H13">
        <v>0</v>
      </c>
      <c r="I13">
        <v>0.87101543638038237</v>
      </c>
      <c r="K13" s="5"/>
      <c r="L13" s="5"/>
      <c r="M13" s="5"/>
      <c r="N13" s="5"/>
      <c r="O13" s="5"/>
      <c r="P13" s="5"/>
      <c r="Q13" s="5"/>
      <c r="R13" s="5"/>
      <c r="T13" s="9"/>
      <c r="U13" s="9"/>
      <c r="V13" s="9"/>
      <c r="W13" s="9"/>
      <c r="X13" s="9"/>
      <c r="Y13" s="9"/>
      <c r="Z13" s="9"/>
      <c r="AA13" s="9"/>
    </row>
    <row r="14" spans="1:27" x14ac:dyDescent="0.25">
      <c r="A14">
        <v>110</v>
      </c>
      <c r="B14">
        <v>0.9999999999973177</v>
      </c>
      <c r="C14">
        <v>0.19103990285537589</v>
      </c>
      <c r="D14">
        <v>0.3850268207433164</v>
      </c>
      <c r="E14">
        <v>4.8480107809452706</v>
      </c>
      <c r="F14">
        <v>4.5630768941919637</v>
      </c>
      <c r="G14" s="1">
        <f t="shared" si="0"/>
        <v>4.7055438375686176</v>
      </c>
      <c r="H14">
        <v>0</v>
      </c>
      <c r="I14">
        <v>0.99507416721581121</v>
      </c>
      <c r="K14" s="5"/>
      <c r="L14" s="5"/>
      <c r="M14" s="5"/>
      <c r="N14" s="5"/>
      <c r="O14" s="5"/>
      <c r="P14" s="5"/>
      <c r="Q14" s="5"/>
      <c r="R14" s="5"/>
      <c r="T14" s="9"/>
      <c r="U14" s="9"/>
      <c r="V14" s="9"/>
      <c r="W14" s="9"/>
      <c r="X14" s="9"/>
      <c r="Y14" s="9"/>
      <c r="Z14" s="9"/>
      <c r="AA14" s="9"/>
    </row>
    <row r="15" spans="1:27" x14ac:dyDescent="0.25">
      <c r="A15">
        <v>115</v>
      </c>
      <c r="B15">
        <v>0.99999999982632126</v>
      </c>
      <c r="C15">
        <v>0.41119336642264892</v>
      </c>
      <c r="D15">
        <v>0.27021328593153388</v>
      </c>
      <c r="E15">
        <v>4.7344208510310732</v>
      </c>
      <c r="F15">
        <v>4.4149625473653513</v>
      </c>
      <c r="G15" s="1">
        <f t="shared" si="0"/>
        <v>4.5746916991982118</v>
      </c>
      <c r="H15">
        <v>0</v>
      </c>
      <c r="I15">
        <v>0.99289985215873167</v>
      </c>
      <c r="K15" s="5"/>
      <c r="L15" s="5"/>
      <c r="M15" s="5"/>
      <c r="N15" s="5"/>
      <c r="O15" s="5"/>
      <c r="P15" s="5"/>
      <c r="Q15" s="5"/>
      <c r="R15" s="5"/>
      <c r="T15" s="9"/>
      <c r="U15" s="9"/>
      <c r="V15" s="9"/>
      <c r="W15" s="9"/>
      <c r="X15" s="9"/>
      <c r="Y15" s="9"/>
      <c r="Z15" s="9"/>
      <c r="AA15" s="9"/>
    </row>
    <row r="16" spans="1:27" x14ac:dyDescent="0.25">
      <c r="A16">
        <v>120</v>
      </c>
      <c r="B16">
        <v>0.99999999999990064</v>
      </c>
      <c r="C16">
        <v>0.23942801003675601</v>
      </c>
      <c r="D16">
        <v>0.30714313143757038</v>
      </c>
      <c r="E16">
        <v>4.660377321748693</v>
      </c>
      <c r="F16">
        <v>4.3285001488611687</v>
      </c>
      <c r="G16" s="1">
        <f t="shared" si="0"/>
        <v>4.4944387353049304</v>
      </c>
      <c r="H16">
        <v>0</v>
      </c>
      <c r="I16">
        <v>0.99532587928763772</v>
      </c>
      <c r="K16" s="5"/>
      <c r="L16" s="5"/>
      <c r="M16" s="5"/>
      <c r="N16" s="5"/>
      <c r="O16" s="5"/>
      <c r="P16" s="5"/>
      <c r="Q16" s="5"/>
      <c r="R16" s="5"/>
      <c r="T16" s="9"/>
      <c r="U16" s="9"/>
      <c r="V16" s="9"/>
      <c r="W16" s="9"/>
      <c r="X16" s="9"/>
      <c r="Y16" s="9"/>
      <c r="Z16" s="9"/>
      <c r="AA16" s="9"/>
    </row>
    <row r="17" spans="1:27" x14ac:dyDescent="0.25">
      <c r="A17">
        <v>125</v>
      </c>
      <c r="B17">
        <v>0.99999999978723197</v>
      </c>
      <c r="C17">
        <v>0.28619964131598419</v>
      </c>
      <c r="D17">
        <v>0.4483862896304826</v>
      </c>
      <c r="E17">
        <v>4.5847186060029914</v>
      </c>
      <c r="F17">
        <v>4.2389249730807919</v>
      </c>
      <c r="G17" s="1">
        <f t="shared" si="0"/>
        <v>4.4118217895418912</v>
      </c>
      <c r="H17">
        <v>0</v>
      </c>
      <c r="I17">
        <v>0.89894636540731587</v>
      </c>
      <c r="K17" s="5"/>
      <c r="L17" s="5"/>
      <c r="M17" s="5"/>
      <c r="N17" s="5"/>
      <c r="O17" s="5"/>
      <c r="P17" s="5"/>
      <c r="Q17" s="5"/>
      <c r="R17" s="5"/>
      <c r="T17" s="9"/>
      <c r="U17" s="9"/>
      <c r="V17" s="9"/>
      <c r="W17" s="9"/>
      <c r="X17" s="9"/>
      <c r="Y17" s="9"/>
      <c r="Z17" s="9"/>
      <c r="AA17" s="9"/>
    </row>
    <row r="18" spans="1:27" x14ac:dyDescent="0.25">
      <c r="A18">
        <v>130</v>
      </c>
      <c r="B18">
        <v>1</v>
      </c>
      <c r="C18">
        <v>0.27985076196167852</v>
      </c>
      <c r="D18">
        <v>0.25608820576947661</v>
      </c>
      <c r="E18">
        <v>4.4797402331426364</v>
      </c>
      <c r="F18">
        <v>4.1375202155727271</v>
      </c>
      <c r="G18" s="1">
        <f t="shared" si="0"/>
        <v>4.3086302243576817</v>
      </c>
      <c r="H18">
        <v>0</v>
      </c>
      <c r="I18">
        <v>0.99308742859463039</v>
      </c>
      <c r="K18" s="5"/>
      <c r="L18" s="5"/>
      <c r="M18" s="5"/>
      <c r="N18" s="5"/>
      <c r="O18" s="5"/>
      <c r="P18" s="5"/>
      <c r="Q18" s="5"/>
      <c r="R18" s="5"/>
      <c r="T18" s="9"/>
      <c r="U18" s="9"/>
      <c r="V18" s="9"/>
      <c r="W18" s="9"/>
      <c r="X18" s="9"/>
      <c r="Y18" s="9"/>
      <c r="Z18" s="9"/>
      <c r="AA18" s="9"/>
    </row>
    <row r="19" spans="1:27" x14ac:dyDescent="0.25">
      <c r="A19">
        <v>135</v>
      </c>
      <c r="B19">
        <v>0.99999999999926192</v>
      </c>
      <c r="C19">
        <v>0.18915442399963769</v>
      </c>
      <c r="D19">
        <v>0.19852574122977751</v>
      </c>
      <c r="E19">
        <v>4.3785376859675411</v>
      </c>
      <c r="F19">
        <v>4.0544145357040842</v>
      </c>
      <c r="G19" s="1">
        <f t="shared" si="0"/>
        <v>4.2164761108358126</v>
      </c>
      <c r="H19">
        <v>0</v>
      </c>
      <c r="I19">
        <v>0.99999999999997491</v>
      </c>
      <c r="K19" s="5"/>
      <c r="L19" s="5"/>
      <c r="M19" s="5"/>
      <c r="N19" s="5"/>
      <c r="O19" s="5"/>
      <c r="P19" s="5"/>
      <c r="Q19" s="5"/>
      <c r="R19" s="5"/>
      <c r="T19" s="9"/>
      <c r="U19" s="9"/>
      <c r="V19" s="9"/>
      <c r="W19" s="9"/>
      <c r="X19" s="9"/>
      <c r="Y19" s="9"/>
      <c r="Z19" s="9"/>
      <c r="AA19" s="9"/>
    </row>
    <row r="20" spans="1:27" x14ac:dyDescent="0.25">
      <c r="A20">
        <v>140</v>
      </c>
      <c r="B20">
        <v>0.99999999999999378</v>
      </c>
      <c r="C20">
        <v>0.40676030403654662</v>
      </c>
      <c r="D20">
        <v>0.26382450742644908</v>
      </c>
      <c r="E20">
        <v>4.3689175182257527</v>
      </c>
      <c r="F20">
        <v>4.0407499774213056</v>
      </c>
      <c r="G20" s="1">
        <f t="shared" si="0"/>
        <v>4.2048337478235291</v>
      </c>
      <c r="H20">
        <v>0</v>
      </c>
      <c r="I20">
        <v>0.99813287788457827</v>
      </c>
      <c r="K20" s="5"/>
      <c r="L20" s="5"/>
      <c r="M20" s="5"/>
      <c r="N20" s="5"/>
      <c r="O20" s="5"/>
      <c r="P20" s="5"/>
      <c r="Q20" s="5"/>
      <c r="R20" s="5"/>
      <c r="T20" s="9"/>
      <c r="U20" s="9"/>
      <c r="V20" s="9"/>
      <c r="W20" s="9"/>
      <c r="X20" s="9"/>
      <c r="Y20" s="9"/>
      <c r="Z20" s="9"/>
      <c r="AA20" s="9"/>
    </row>
    <row r="21" spans="1:27" x14ac:dyDescent="0.25">
      <c r="A21">
        <v>145</v>
      </c>
      <c r="B21">
        <v>1</v>
      </c>
      <c r="C21">
        <v>-1.37280337318809E-2</v>
      </c>
      <c r="D21">
        <v>0.25100299945843718</v>
      </c>
      <c r="E21">
        <v>4.2436993503915774</v>
      </c>
      <c r="F21">
        <v>3.9345191592985458</v>
      </c>
      <c r="G21" s="1">
        <f t="shared" si="0"/>
        <v>4.0891092548450612</v>
      </c>
      <c r="H21">
        <v>0</v>
      </c>
      <c r="I21">
        <v>0.99373495421927394</v>
      </c>
      <c r="K21" s="5"/>
      <c r="L21" s="5"/>
      <c r="M21" s="5"/>
      <c r="N21" s="5"/>
      <c r="O21" s="5"/>
      <c r="P21" s="5"/>
      <c r="Q21" s="5"/>
      <c r="R21" s="5"/>
      <c r="T21" s="9"/>
      <c r="U21" s="9"/>
      <c r="V21" s="9"/>
      <c r="W21" s="9"/>
      <c r="X21" s="9"/>
      <c r="Y21" s="9"/>
      <c r="Z21" s="9"/>
      <c r="AA21" s="9"/>
    </row>
    <row r="22" spans="1:27" x14ac:dyDescent="0.25">
      <c r="A22">
        <v>150</v>
      </c>
      <c r="B22">
        <v>0.999999999999998</v>
      </c>
      <c r="C22">
        <v>-4.4907000783059987E-2</v>
      </c>
      <c r="D22">
        <v>0.44370604375316042</v>
      </c>
      <c r="E22">
        <v>4.2259280539007218</v>
      </c>
      <c r="F22">
        <v>3.9380096099058268</v>
      </c>
      <c r="G22" s="1">
        <f t="shared" si="0"/>
        <v>4.0819688319032741</v>
      </c>
      <c r="H22">
        <v>0</v>
      </c>
      <c r="I22">
        <v>0.99888183758022286</v>
      </c>
      <c r="K22" s="5"/>
      <c r="L22" s="5"/>
      <c r="M22" s="5"/>
      <c r="N22" s="5"/>
      <c r="O22" s="5"/>
      <c r="P22" s="5"/>
      <c r="Q22" s="5"/>
      <c r="R22" s="5"/>
      <c r="T22" s="9"/>
      <c r="U22" s="9"/>
      <c r="V22" s="9"/>
      <c r="W22" s="9"/>
      <c r="X22" s="9"/>
      <c r="Y22" s="9"/>
      <c r="Z22" s="9"/>
      <c r="AA22" s="9"/>
    </row>
    <row r="23" spans="1:27" x14ac:dyDescent="0.25">
      <c r="A23">
        <v>155</v>
      </c>
      <c r="B23">
        <v>0.9999999999848842</v>
      </c>
      <c r="C23">
        <v>0.11644460092280171</v>
      </c>
      <c r="D23">
        <v>0.32012109285762841</v>
      </c>
      <c r="E23">
        <v>4.1379682598533858</v>
      </c>
      <c r="F23">
        <v>3.8966837515730699</v>
      </c>
      <c r="G23" s="1">
        <f t="shared" si="0"/>
        <v>4.0173260057132278</v>
      </c>
      <c r="H23">
        <v>0</v>
      </c>
      <c r="I23">
        <v>0.86770651620419281</v>
      </c>
      <c r="K23" s="5"/>
      <c r="L23" s="5"/>
      <c r="M23" s="5"/>
      <c r="N23" s="5"/>
      <c r="O23" s="5"/>
      <c r="P23" s="5"/>
      <c r="Q23" s="5"/>
      <c r="R23" s="5"/>
      <c r="T23" s="9"/>
      <c r="U23" s="9"/>
      <c r="V23" s="9"/>
      <c r="W23" s="9"/>
      <c r="X23" s="9"/>
      <c r="Y23" s="9"/>
      <c r="Z23" s="9"/>
      <c r="AA23" s="9"/>
    </row>
    <row r="24" spans="1:27" x14ac:dyDescent="0.25">
      <c r="A24">
        <v>160</v>
      </c>
      <c r="B24">
        <v>1</v>
      </c>
      <c r="C24">
        <v>8.1025309853498852E-3</v>
      </c>
      <c r="D24">
        <v>0.47788188072727977</v>
      </c>
      <c r="E24">
        <v>4.1060730163074588</v>
      </c>
      <c r="F24">
        <v>3.8823632128783898</v>
      </c>
      <c r="G24" s="1">
        <f t="shared" si="0"/>
        <v>3.9942181145929245</v>
      </c>
      <c r="H24">
        <v>0</v>
      </c>
      <c r="I24">
        <v>0.9992698828659009</v>
      </c>
      <c r="K24" s="5"/>
      <c r="L24" s="5"/>
      <c r="M24" s="5"/>
      <c r="N24" s="5"/>
      <c r="O24" s="5"/>
      <c r="P24" s="5"/>
      <c r="Q24" s="5"/>
      <c r="R24" s="5"/>
      <c r="T24" s="9"/>
      <c r="U24" s="9"/>
      <c r="V24" s="9"/>
      <c r="W24" s="9"/>
      <c r="X24" s="9"/>
      <c r="Y24" s="9"/>
      <c r="Z24" s="9"/>
      <c r="AA24" s="9"/>
    </row>
    <row r="25" spans="1:27" x14ac:dyDescent="0.25">
      <c r="A25">
        <v>165</v>
      </c>
      <c r="B25">
        <v>0.9990189202548988</v>
      </c>
      <c r="C25">
        <v>7.2831027466137899E-2</v>
      </c>
      <c r="D25">
        <v>0.1928200728512911</v>
      </c>
      <c r="E25">
        <v>4.0013211683400414</v>
      </c>
      <c r="F25">
        <v>3.8044887997067618</v>
      </c>
      <c r="G25" s="1">
        <f t="shared" si="0"/>
        <v>3.9029049840234018</v>
      </c>
      <c r="H25">
        <v>0</v>
      </c>
      <c r="I25">
        <v>0.99806064264428151</v>
      </c>
      <c r="K25" s="5"/>
      <c r="L25" s="5"/>
      <c r="M25" s="5"/>
      <c r="N25" s="5"/>
      <c r="O25" s="5"/>
      <c r="P25" s="5"/>
      <c r="Q25" s="5"/>
      <c r="R25" s="5"/>
      <c r="T25" s="9"/>
      <c r="U25" s="9"/>
      <c r="V25" s="9"/>
      <c r="W25" s="9"/>
      <c r="X25" s="9"/>
      <c r="Y25" s="9"/>
      <c r="Z25" s="9"/>
      <c r="AA25" s="9"/>
    </row>
    <row r="26" spans="1:27" x14ac:dyDescent="0.25">
      <c r="A26">
        <v>170</v>
      </c>
      <c r="B26">
        <v>1</v>
      </c>
      <c r="C26">
        <v>0.20038438419185181</v>
      </c>
      <c r="D26">
        <v>0.43819734069308047</v>
      </c>
      <c r="E26">
        <v>4.0055533357739259</v>
      </c>
      <c r="F26">
        <v>3.8242162875279448</v>
      </c>
      <c r="G26" s="1">
        <f t="shared" si="0"/>
        <v>3.9148848116509356</v>
      </c>
      <c r="H26">
        <v>0</v>
      </c>
      <c r="I26">
        <v>0.99970639470259115</v>
      </c>
      <c r="K26" s="5"/>
      <c r="L26" s="5"/>
      <c r="M26" s="5"/>
      <c r="N26" s="5"/>
      <c r="O26" s="5"/>
      <c r="P26" s="5"/>
      <c r="Q26" s="5"/>
      <c r="R26" s="5"/>
      <c r="T26" s="9"/>
      <c r="U26" s="9"/>
      <c r="V26" s="9"/>
      <c r="W26" s="9"/>
      <c r="X26" s="9"/>
      <c r="Y26" s="9"/>
      <c r="Z26" s="9"/>
      <c r="AA26" s="9"/>
    </row>
    <row r="27" spans="1:27" x14ac:dyDescent="0.25">
      <c r="A27">
        <v>175</v>
      </c>
      <c r="B27">
        <v>1</v>
      </c>
      <c r="C27">
        <v>0.13961021405765181</v>
      </c>
      <c r="D27">
        <v>0.30649661042570397</v>
      </c>
      <c r="E27">
        <v>3.9361933983386042</v>
      </c>
      <c r="F27">
        <v>3.7635341427648852</v>
      </c>
      <c r="G27" s="1">
        <f t="shared" si="0"/>
        <v>3.8498637705517447</v>
      </c>
      <c r="H27">
        <v>0</v>
      </c>
      <c r="I27">
        <v>0.99948372858190671</v>
      </c>
      <c r="K27" s="5"/>
      <c r="L27" s="5"/>
      <c r="M27" s="5"/>
      <c r="N27" s="5"/>
      <c r="O27" s="5"/>
      <c r="P27" s="5"/>
      <c r="Q27" s="5"/>
      <c r="R27" s="5"/>
      <c r="T27" s="9"/>
      <c r="U27" s="9"/>
      <c r="V27" s="9"/>
      <c r="W27" s="9"/>
      <c r="X27" s="9"/>
      <c r="Y27" s="9"/>
      <c r="Z27" s="9"/>
      <c r="AA27" s="9"/>
    </row>
    <row r="28" spans="1:27" x14ac:dyDescent="0.25">
      <c r="A28">
        <v>180</v>
      </c>
      <c r="B28">
        <v>1</v>
      </c>
      <c r="C28">
        <v>8.176856289370589E-2</v>
      </c>
      <c r="D28">
        <v>0.12989992243855181</v>
      </c>
      <c r="E28">
        <v>3.8989008724132739</v>
      </c>
      <c r="F28">
        <v>3.7301514632622168</v>
      </c>
      <c r="G28" s="1">
        <f t="shared" si="0"/>
        <v>3.8145261678377453</v>
      </c>
      <c r="H28">
        <v>0</v>
      </c>
      <c r="I28">
        <v>0.9998079356628955</v>
      </c>
      <c r="K28" s="5"/>
      <c r="L28" s="5"/>
      <c r="M28" s="5"/>
      <c r="N28" s="5"/>
      <c r="O28" s="5"/>
      <c r="P28" s="5"/>
      <c r="Q28" s="5"/>
      <c r="R28" s="5"/>
      <c r="T28" s="9"/>
      <c r="U28" s="9"/>
      <c r="V28" s="9"/>
      <c r="W28" s="9"/>
      <c r="X28" s="9"/>
      <c r="Y28" s="9"/>
      <c r="Z28" s="9"/>
      <c r="AA28" s="9"/>
    </row>
    <row r="29" spans="1:27" x14ac:dyDescent="0.25">
      <c r="A29">
        <v>185</v>
      </c>
      <c r="B29">
        <v>1</v>
      </c>
      <c r="C29">
        <v>0.16703460828607089</v>
      </c>
      <c r="D29">
        <v>0.35483577612008937</v>
      </c>
      <c r="E29">
        <v>3.9038145228565688</v>
      </c>
      <c r="F29">
        <v>3.7311428507025939</v>
      </c>
      <c r="G29" s="1">
        <f t="shared" si="0"/>
        <v>3.8174786867795811</v>
      </c>
      <c r="H29">
        <v>0</v>
      </c>
      <c r="I29">
        <v>1</v>
      </c>
      <c r="K29" s="5"/>
      <c r="L29" s="5"/>
      <c r="M29" s="5"/>
      <c r="N29" s="5"/>
      <c r="O29" s="5"/>
      <c r="P29" s="5"/>
      <c r="Q29" s="5"/>
      <c r="R29" s="5"/>
      <c r="T29" s="9"/>
      <c r="U29" s="9"/>
      <c r="V29" s="9"/>
      <c r="W29" s="9"/>
      <c r="X29" s="9"/>
      <c r="Y29" s="9"/>
      <c r="Z29" s="9"/>
      <c r="AA29" s="9"/>
    </row>
    <row r="30" spans="1:27" x14ac:dyDescent="0.25">
      <c r="A30">
        <v>190</v>
      </c>
      <c r="B30">
        <v>1</v>
      </c>
      <c r="C30">
        <v>0.28271202391444228</v>
      </c>
      <c r="D30">
        <v>0.20110380999717711</v>
      </c>
      <c r="E30">
        <v>3.8546588912408031</v>
      </c>
      <c r="F30">
        <v>3.685104375407843</v>
      </c>
      <c r="G30" s="1">
        <f t="shared" si="0"/>
        <v>3.769881633324323</v>
      </c>
      <c r="H30">
        <v>0</v>
      </c>
      <c r="I30">
        <v>0.99999999999999567</v>
      </c>
      <c r="K30" s="5"/>
      <c r="L30" s="5"/>
      <c r="M30" s="5"/>
      <c r="N30" s="5"/>
      <c r="O30" s="5"/>
      <c r="P30" s="5"/>
      <c r="Q30" s="5"/>
      <c r="R30" s="5"/>
      <c r="T30" s="9"/>
      <c r="U30" s="9"/>
      <c r="V30" s="9"/>
      <c r="W30" s="9"/>
      <c r="X30" s="9"/>
      <c r="Y30" s="9"/>
      <c r="Z30" s="9"/>
      <c r="AA30" s="9"/>
    </row>
    <row r="31" spans="1:27" x14ac:dyDescent="0.25">
      <c r="A31">
        <v>195</v>
      </c>
      <c r="B31">
        <v>1</v>
      </c>
      <c r="C31">
        <v>-0.1015221033013835</v>
      </c>
      <c r="D31">
        <v>0.21137741332797941</v>
      </c>
      <c r="E31">
        <v>3.854376358856253</v>
      </c>
      <c r="F31">
        <v>3.6791943043226709</v>
      </c>
      <c r="G31" s="1">
        <f t="shared" si="0"/>
        <v>3.7667853315894622</v>
      </c>
      <c r="H31">
        <v>0</v>
      </c>
      <c r="I31">
        <v>0.9999999994466211</v>
      </c>
      <c r="K31" s="5"/>
      <c r="L31" s="5"/>
      <c r="M31" s="5"/>
      <c r="N31" s="5"/>
      <c r="O31" s="5"/>
      <c r="P31" s="5"/>
      <c r="Q31" s="5"/>
      <c r="R31" s="5"/>
      <c r="T31" s="9"/>
      <c r="U31" s="9"/>
      <c r="V31" s="9"/>
      <c r="W31" s="9"/>
      <c r="X31" s="9"/>
      <c r="Y31" s="9"/>
      <c r="Z31" s="9"/>
      <c r="AA31" s="9"/>
    </row>
    <row r="32" spans="1:27" x14ac:dyDescent="0.25">
      <c r="A32">
        <v>200</v>
      </c>
      <c r="B32">
        <v>1</v>
      </c>
      <c r="C32">
        <v>6.5151254109870382E-2</v>
      </c>
      <c r="D32">
        <v>0.32263687845545119</v>
      </c>
      <c r="E32">
        <v>3.8190577968705872</v>
      </c>
      <c r="F32">
        <v>3.645130864768916</v>
      </c>
      <c r="G32" s="1">
        <f t="shared" si="0"/>
        <v>3.7320943308197516</v>
      </c>
      <c r="H32">
        <v>0</v>
      </c>
      <c r="I32">
        <v>0.99999999999999956</v>
      </c>
      <c r="K32" s="5"/>
      <c r="L32" s="5"/>
      <c r="M32" s="5"/>
      <c r="N32" s="5"/>
      <c r="O32" s="5"/>
      <c r="P32" s="5"/>
      <c r="Q32" s="5"/>
      <c r="R32" s="5"/>
      <c r="T32" s="9"/>
      <c r="U32" s="9"/>
      <c r="V32" s="9"/>
      <c r="W32" s="9"/>
      <c r="X32" s="9"/>
      <c r="Y32" s="9"/>
      <c r="Z32" s="9"/>
      <c r="AA32" s="9"/>
    </row>
    <row r="33" spans="1:27" x14ac:dyDescent="0.25">
      <c r="A33">
        <v>205</v>
      </c>
      <c r="B33">
        <v>1</v>
      </c>
      <c r="C33">
        <v>0.17797811821373249</v>
      </c>
      <c r="D33">
        <v>0.31859882996134548</v>
      </c>
      <c r="E33">
        <v>3.7770927511630878</v>
      </c>
      <c r="F33">
        <v>3.6041686488001239</v>
      </c>
      <c r="G33" s="1">
        <f t="shared" si="0"/>
        <v>3.6906306999816056</v>
      </c>
      <c r="H33">
        <v>0</v>
      </c>
      <c r="I33">
        <v>0.99999984039149636</v>
      </c>
      <c r="K33" s="5"/>
      <c r="L33" s="5"/>
      <c r="M33" s="5"/>
      <c r="N33" s="5"/>
      <c r="O33" s="5"/>
      <c r="P33" s="5"/>
      <c r="Q33" s="5"/>
      <c r="R33" s="5"/>
      <c r="T33" s="9"/>
      <c r="U33" s="9"/>
      <c r="V33" s="9"/>
      <c r="W33" s="9"/>
      <c r="X33" s="9"/>
      <c r="Y33" s="9"/>
      <c r="Z33" s="9"/>
      <c r="AA33" s="9"/>
    </row>
    <row r="34" spans="1:27" x14ac:dyDescent="0.25">
      <c r="A34">
        <v>210</v>
      </c>
      <c r="B34">
        <v>1</v>
      </c>
      <c r="C34">
        <v>-0.1628227444943337</v>
      </c>
      <c r="D34">
        <v>2.492640962499677E-2</v>
      </c>
      <c r="E34">
        <v>3.781740708486661</v>
      </c>
      <c r="F34">
        <v>3.6019412170544989</v>
      </c>
      <c r="G34" s="1">
        <f t="shared" si="0"/>
        <v>3.6918409627705797</v>
      </c>
      <c r="H34">
        <v>0</v>
      </c>
      <c r="I34">
        <v>1</v>
      </c>
      <c r="K34" s="5"/>
      <c r="L34" s="5"/>
      <c r="M34" s="5"/>
      <c r="N34" s="5"/>
      <c r="O34" s="5"/>
      <c r="P34" s="5"/>
      <c r="Q34" s="5"/>
      <c r="R34" s="5"/>
      <c r="T34" s="9"/>
      <c r="U34" s="9"/>
      <c r="V34" s="9"/>
      <c r="W34" s="9"/>
      <c r="X34" s="9"/>
      <c r="Y34" s="9"/>
      <c r="Z34" s="9"/>
      <c r="AA34" s="9"/>
    </row>
    <row r="35" spans="1:27" x14ac:dyDescent="0.25">
      <c r="A35">
        <v>215</v>
      </c>
      <c r="B35">
        <v>1</v>
      </c>
      <c r="C35">
        <v>8.885293631003011E-3</v>
      </c>
      <c r="D35">
        <v>0.28744647119668448</v>
      </c>
      <c r="E35">
        <v>3.7432206993367769</v>
      </c>
      <c r="F35">
        <v>3.566583320453796</v>
      </c>
      <c r="G35" s="1">
        <f t="shared" si="0"/>
        <v>3.6549020098952862</v>
      </c>
      <c r="H35">
        <v>0</v>
      </c>
      <c r="I35">
        <v>0.99999999999098343</v>
      </c>
      <c r="K35" s="5"/>
      <c r="L35" s="5"/>
      <c r="M35" s="5"/>
      <c r="N35" s="5"/>
      <c r="O35" s="5"/>
      <c r="P35" s="5"/>
      <c r="Q35" s="5"/>
      <c r="R35" s="5"/>
      <c r="T35" s="9"/>
      <c r="U35" s="9"/>
      <c r="V35" s="9"/>
      <c r="W35" s="9"/>
      <c r="X35" s="9"/>
      <c r="Y35" s="9"/>
      <c r="Z35" s="9"/>
      <c r="AA35" s="9"/>
    </row>
    <row r="36" spans="1:27" x14ac:dyDescent="0.25">
      <c r="A36">
        <v>220</v>
      </c>
      <c r="B36">
        <v>1</v>
      </c>
      <c r="C36">
        <v>0.1135135154950791</v>
      </c>
      <c r="D36">
        <v>0.27382095070600082</v>
      </c>
      <c r="E36">
        <v>3.702978011160134</v>
      </c>
      <c r="F36">
        <v>3.5464552636852802</v>
      </c>
      <c r="G36" s="1">
        <f t="shared" si="0"/>
        <v>3.6247166374227069</v>
      </c>
      <c r="H36">
        <v>0</v>
      </c>
      <c r="I36">
        <v>0.9283082575391336</v>
      </c>
      <c r="K36" s="5"/>
      <c r="L36" s="5"/>
      <c r="M36" s="5"/>
      <c r="N36" s="5"/>
      <c r="O36" s="5"/>
      <c r="P36" s="5"/>
      <c r="Q36" s="5"/>
      <c r="R36" s="5"/>
      <c r="T36" s="9"/>
      <c r="U36" s="9"/>
      <c r="V36" s="9"/>
      <c r="W36" s="9"/>
      <c r="X36" s="9"/>
      <c r="Y36" s="9"/>
      <c r="Z36" s="9"/>
      <c r="AA36" s="9"/>
    </row>
    <row r="37" spans="1:27" x14ac:dyDescent="0.25">
      <c r="A37">
        <v>225</v>
      </c>
      <c r="B37">
        <v>1</v>
      </c>
      <c r="C37">
        <v>5.3555442076243673E-2</v>
      </c>
      <c r="D37">
        <v>8.0726134826657164E-2</v>
      </c>
      <c r="E37">
        <v>3.6551550192183382</v>
      </c>
      <c r="F37">
        <v>3.5269477540314651</v>
      </c>
      <c r="G37" s="1">
        <f t="shared" si="0"/>
        <v>3.5910513866249016</v>
      </c>
      <c r="H37">
        <v>0</v>
      </c>
      <c r="I37">
        <v>0.99999999999911182</v>
      </c>
      <c r="K37" s="5"/>
      <c r="L37" s="5"/>
      <c r="M37" s="5"/>
      <c r="N37" s="5"/>
      <c r="O37" s="5"/>
      <c r="P37" s="5"/>
      <c r="Q37" s="5"/>
      <c r="R37" s="5"/>
      <c r="T37" s="9"/>
      <c r="U37" s="9"/>
      <c r="V37" s="9"/>
      <c r="W37" s="9"/>
      <c r="X37" s="9"/>
      <c r="Y37" s="9"/>
      <c r="Z37" s="9"/>
      <c r="AA37" s="9"/>
    </row>
    <row r="38" spans="1:27" x14ac:dyDescent="0.25">
      <c r="A38">
        <v>230</v>
      </c>
      <c r="B38">
        <v>1</v>
      </c>
      <c r="C38">
        <v>0.36211691984289629</v>
      </c>
      <c r="D38">
        <v>0.26991997308092958</v>
      </c>
      <c r="E38">
        <v>3.6250974930272371</v>
      </c>
      <c r="F38">
        <v>3.5331875353327908</v>
      </c>
      <c r="G38" s="1">
        <f t="shared" si="0"/>
        <v>3.5791425141800142</v>
      </c>
      <c r="H38">
        <v>0</v>
      </c>
      <c r="I38">
        <v>0.99999999999996969</v>
      </c>
      <c r="K38" s="5"/>
      <c r="L38" s="5"/>
      <c r="M38" s="5"/>
      <c r="N38" s="5"/>
      <c r="O38" s="5"/>
      <c r="P38" s="5"/>
      <c r="Q38" s="5"/>
      <c r="R38" s="5"/>
      <c r="T38" s="9"/>
      <c r="U38" s="9"/>
      <c r="V38" s="9"/>
      <c r="W38" s="9"/>
      <c r="X38" s="9"/>
      <c r="Y38" s="9"/>
      <c r="Z38" s="9"/>
      <c r="AA38" s="9"/>
    </row>
    <row r="39" spans="1:27" x14ac:dyDescent="0.25">
      <c r="A39">
        <v>235</v>
      </c>
      <c r="B39">
        <v>1</v>
      </c>
      <c r="C39">
        <v>0.17927592453745089</v>
      </c>
      <c r="D39">
        <v>5.4737319493485183E-2</v>
      </c>
      <c r="E39">
        <v>3.5340161299774642</v>
      </c>
      <c r="F39">
        <v>3.4975325789448659</v>
      </c>
      <c r="G39" s="1">
        <f t="shared" si="0"/>
        <v>3.5157743544611648</v>
      </c>
      <c r="H39">
        <v>0</v>
      </c>
      <c r="I39">
        <v>0.9999999997332738</v>
      </c>
      <c r="K39" s="5"/>
      <c r="L39" s="5"/>
      <c r="M39" s="5"/>
      <c r="N39" s="5"/>
      <c r="O39" s="5"/>
      <c r="P39" s="5"/>
      <c r="Q39" s="5"/>
      <c r="R39" s="5"/>
      <c r="T39" s="9"/>
      <c r="U39" s="9"/>
      <c r="V39" s="9"/>
      <c r="W39" s="9"/>
      <c r="X39" s="9"/>
      <c r="Y39" s="9"/>
      <c r="Z39" s="9"/>
      <c r="AA39" s="9"/>
    </row>
    <row r="40" spans="1:27" x14ac:dyDescent="0.25">
      <c r="A40">
        <v>240</v>
      </c>
      <c r="B40">
        <v>1</v>
      </c>
      <c r="C40">
        <v>0.20729485750856921</v>
      </c>
      <c r="D40">
        <v>0.36965307836370292</v>
      </c>
      <c r="E40">
        <v>3.4424032992899911</v>
      </c>
      <c r="F40">
        <v>3.495985022907703</v>
      </c>
      <c r="G40" s="1">
        <f t="shared" si="0"/>
        <v>3.469194161098847</v>
      </c>
      <c r="H40">
        <v>0</v>
      </c>
      <c r="I40">
        <v>1</v>
      </c>
      <c r="K40" s="5"/>
      <c r="L40" s="5"/>
      <c r="M40" s="5"/>
      <c r="N40" s="5"/>
      <c r="O40" s="5"/>
      <c r="P40" s="5"/>
      <c r="Q40" s="5"/>
      <c r="R40" s="5"/>
      <c r="T40" s="9"/>
      <c r="U40" s="9"/>
      <c r="V40" s="9"/>
      <c r="W40" s="9"/>
      <c r="X40" s="9"/>
      <c r="Y40" s="9"/>
      <c r="Z40" s="9"/>
      <c r="AA40" s="9"/>
    </row>
    <row r="41" spans="1:27" x14ac:dyDescent="0.25">
      <c r="A41">
        <v>245</v>
      </c>
      <c r="B41">
        <v>1</v>
      </c>
      <c r="C41">
        <v>0.14792986426638849</v>
      </c>
      <c r="D41">
        <v>8.4975735203894703E-2</v>
      </c>
      <c r="E41">
        <v>3.2749179902040222</v>
      </c>
      <c r="F41">
        <v>3.2261503450716411</v>
      </c>
      <c r="G41" s="1">
        <f t="shared" si="0"/>
        <v>3.2505341676378317</v>
      </c>
      <c r="H41">
        <v>0</v>
      </c>
      <c r="I41">
        <v>1</v>
      </c>
      <c r="K41" s="5"/>
      <c r="L41" s="5"/>
      <c r="M41" s="5"/>
      <c r="N41" s="5"/>
      <c r="O41" s="5"/>
      <c r="P41" s="5"/>
      <c r="Q41" s="5"/>
      <c r="R41" s="5"/>
      <c r="T41" s="9"/>
      <c r="U41" s="9"/>
      <c r="V41" s="9"/>
      <c r="W41" s="9"/>
      <c r="X41" s="9"/>
      <c r="Y41" s="9"/>
      <c r="Z41" s="9"/>
      <c r="AA41" s="9"/>
    </row>
  </sheetData>
  <mergeCells count="1">
    <mergeCell ref="B4:I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3E97-72F1-448B-8AAF-E26D3E522C67}">
  <dimension ref="A1:AB41"/>
  <sheetViews>
    <sheetView topLeftCell="A2" workbookViewId="0">
      <selection activeCell="A2" sqref="A2"/>
    </sheetView>
  </sheetViews>
  <sheetFormatPr defaultRowHeight="15" x14ac:dyDescent="0.25"/>
  <cols>
    <col min="7" max="8" width="15.140625" customWidth="1"/>
    <col min="21" max="28" width="19.85546875" bestFit="1" customWidth="1"/>
  </cols>
  <sheetData>
    <row r="1" spans="1:28" x14ac:dyDescent="0.25">
      <c r="A1" t="s">
        <v>42</v>
      </c>
    </row>
    <row r="2" spans="1:28" x14ac:dyDescent="0.25">
      <c r="A2" t="s">
        <v>43</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row>
    <row r="6" spans="1:28" x14ac:dyDescent="0.25">
      <c r="A6">
        <v>70</v>
      </c>
      <c r="B6">
        <v>1</v>
      </c>
      <c r="C6">
        <v>8.4284846621321491E-2</v>
      </c>
      <c r="D6">
        <v>-8.1430620713727808E-2</v>
      </c>
      <c r="E6">
        <v>6.1954538754879103</v>
      </c>
      <c r="F6">
        <v>5.914784443202115</v>
      </c>
      <c r="G6" s="1">
        <f>AVERAGE(E6:F6)</f>
        <v>6.0551191593450131</v>
      </c>
      <c r="H6" s="1">
        <f>2.35*G6</f>
        <v>14.229530024460781</v>
      </c>
      <c r="I6">
        <v>0</v>
      </c>
      <c r="J6">
        <v>0.9763747346098679</v>
      </c>
      <c r="U6" s="7"/>
      <c r="V6" s="7"/>
      <c r="W6" s="7"/>
      <c r="X6" s="7"/>
      <c r="Y6" s="7"/>
      <c r="Z6" s="7"/>
      <c r="AA6" s="7"/>
      <c r="AB6" s="7"/>
    </row>
    <row r="7" spans="1:28" x14ac:dyDescent="0.25">
      <c r="A7">
        <v>75</v>
      </c>
      <c r="B7">
        <v>1</v>
      </c>
      <c r="C7">
        <v>0.2111289341169762</v>
      </c>
      <c r="D7">
        <v>3.7374640390103173E-2</v>
      </c>
      <c r="E7">
        <v>5.8891160113248073</v>
      </c>
      <c r="F7">
        <v>5.7086693457435471</v>
      </c>
      <c r="G7" s="1">
        <f t="shared" ref="G7:G41" si="0">AVERAGE(E7:F7)</f>
        <v>5.7988926785341768</v>
      </c>
      <c r="H7" s="1">
        <f t="shared" ref="H7:H41" si="1">2.35*G7</f>
        <v>13.627397794555316</v>
      </c>
      <c r="I7">
        <v>0</v>
      </c>
      <c r="J7">
        <v>0.98712732067155873</v>
      </c>
      <c r="U7" s="7"/>
      <c r="V7" s="7"/>
      <c r="W7" s="7"/>
      <c r="X7" s="7"/>
      <c r="Y7" s="7"/>
      <c r="Z7" s="7"/>
      <c r="AA7" s="7"/>
      <c r="AB7" s="7"/>
    </row>
    <row r="8" spans="1:28" x14ac:dyDescent="0.25">
      <c r="A8">
        <v>80</v>
      </c>
      <c r="B8">
        <v>1</v>
      </c>
      <c r="C8">
        <v>0.1929301037394294</v>
      </c>
      <c r="D8">
        <v>-0.1380867185556881</v>
      </c>
      <c r="E8">
        <v>5.6312450832983334</v>
      </c>
      <c r="F8">
        <v>5.5321933030648438</v>
      </c>
      <c r="G8" s="1">
        <f t="shared" si="0"/>
        <v>5.5817191931815886</v>
      </c>
      <c r="H8" s="1">
        <f t="shared" si="1"/>
        <v>13.117040103976734</v>
      </c>
      <c r="I8">
        <v>0</v>
      </c>
      <c r="J8">
        <v>0.99127855255949371</v>
      </c>
      <c r="U8" s="7"/>
      <c r="V8" s="7"/>
      <c r="W8" s="7"/>
      <c r="X8" s="7"/>
      <c r="Y8" s="7"/>
      <c r="Z8" s="7"/>
      <c r="AA8" s="7"/>
      <c r="AB8" s="7"/>
    </row>
    <row r="9" spans="1:28" x14ac:dyDescent="0.25">
      <c r="A9">
        <v>85</v>
      </c>
      <c r="B9">
        <v>1</v>
      </c>
      <c r="C9">
        <v>0.16239459249574459</v>
      </c>
      <c r="D9">
        <v>-2.4327374669572761E-2</v>
      </c>
      <c r="E9">
        <v>5.3748971987638381</v>
      </c>
      <c r="F9">
        <v>5.2976402339133388</v>
      </c>
      <c r="G9" s="1">
        <f t="shared" si="0"/>
        <v>5.3362687163385889</v>
      </c>
      <c r="H9" s="1">
        <f t="shared" si="1"/>
        <v>12.540231483395685</v>
      </c>
      <c r="I9">
        <v>0</v>
      </c>
      <c r="J9">
        <v>0.98827409091687335</v>
      </c>
      <c r="U9" s="7"/>
      <c r="V9" s="7"/>
      <c r="W9" s="7"/>
      <c r="X9" s="7"/>
      <c r="Y9" s="7"/>
      <c r="Z9" s="7"/>
      <c r="AA9" s="7"/>
      <c r="AB9" s="7"/>
    </row>
    <row r="10" spans="1:28" x14ac:dyDescent="0.25">
      <c r="A10">
        <v>90</v>
      </c>
      <c r="B10">
        <v>1</v>
      </c>
      <c r="C10">
        <v>0.17525714983391241</v>
      </c>
      <c r="D10">
        <v>-0.1169131575051405</v>
      </c>
      <c r="E10">
        <v>5.2329548208479224</v>
      </c>
      <c r="F10">
        <v>5.1361985510647861</v>
      </c>
      <c r="G10" s="1">
        <f t="shared" si="0"/>
        <v>5.1845766859563547</v>
      </c>
      <c r="H10" s="1">
        <f t="shared" si="1"/>
        <v>12.183755211997434</v>
      </c>
      <c r="I10">
        <v>0</v>
      </c>
      <c r="J10">
        <v>0.9932320469668442</v>
      </c>
      <c r="U10" s="7"/>
      <c r="V10" s="7"/>
      <c r="W10" s="7"/>
      <c r="X10" s="7"/>
      <c r="Y10" s="7"/>
      <c r="Z10" s="7"/>
      <c r="AA10" s="7"/>
      <c r="AB10" s="7"/>
    </row>
    <row r="11" spans="1:28" x14ac:dyDescent="0.25">
      <c r="A11">
        <v>95</v>
      </c>
      <c r="B11">
        <v>1</v>
      </c>
      <c r="C11">
        <v>0.1034787784306329</v>
      </c>
      <c r="D11">
        <v>0.1401945278298346</v>
      </c>
      <c r="E11">
        <v>5.1201799857537464</v>
      </c>
      <c r="F11">
        <v>4.9704113674095236</v>
      </c>
      <c r="G11" s="1">
        <f t="shared" si="0"/>
        <v>5.0452956765816346</v>
      </c>
      <c r="H11" s="1">
        <f t="shared" si="1"/>
        <v>11.856444839966843</v>
      </c>
      <c r="I11">
        <v>0</v>
      </c>
      <c r="J11">
        <v>0.99111467348884075</v>
      </c>
      <c r="U11" s="7"/>
      <c r="V11" s="7"/>
      <c r="W11" s="7"/>
      <c r="X11" s="7"/>
      <c r="Y11" s="7"/>
      <c r="Z11" s="7"/>
      <c r="AA11" s="7"/>
      <c r="AB11" s="7"/>
    </row>
    <row r="12" spans="1:28" x14ac:dyDescent="0.25">
      <c r="A12">
        <v>100</v>
      </c>
      <c r="B12">
        <v>1</v>
      </c>
      <c r="C12">
        <v>9.8822827580812081E-3</v>
      </c>
      <c r="D12">
        <v>0.1740852106814394</v>
      </c>
      <c r="E12">
        <v>4.9743420978349446</v>
      </c>
      <c r="F12">
        <v>4.7851136952446787</v>
      </c>
      <c r="G12" s="1">
        <f t="shared" si="0"/>
        <v>4.8797278965398121</v>
      </c>
      <c r="H12" s="1">
        <f t="shared" si="1"/>
        <v>11.467360556868559</v>
      </c>
      <c r="I12">
        <v>0</v>
      </c>
      <c r="J12">
        <v>0.99397723796322335</v>
      </c>
      <c r="U12" s="7"/>
      <c r="V12" s="7"/>
      <c r="W12" s="7"/>
      <c r="X12" s="7"/>
      <c r="Y12" s="7"/>
      <c r="Z12" s="7"/>
      <c r="AA12" s="7"/>
      <c r="AB12" s="7"/>
    </row>
    <row r="13" spans="1:28" x14ac:dyDescent="0.25">
      <c r="A13">
        <v>105</v>
      </c>
      <c r="B13">
        <v>1</v>
      </c>
      <c r="C13">
        <v>0.1079087914859774</v>
      </c>
      <c r="D13">
        <v>0.114775946857005</v>
      </c>
      <c r="E13">
        <v>4.8973735714871216</v>
      </c>
      <c r="F13">
        <v>4.6680512544514086</v>
      </c>
      <c r="G13" s="1">
        <f t="shared" si="0"/>
        <v>4.7827124129692651</v>
      </c>
      <c r="H13" s="1">
        <f t="shared" si="1"/>
        <v>11.239374170477774</v>
      </c>
      <c r="I13">
        <v>0</v>
      </c>
      <c r="J13">
        <v>0.99411417133238011</v>
      </c>
      <c r="U13" s="7"/>
      <c r="V13" s="7"/>
      <c r="W13" s="7"/>
      <c r="X13" s="7"/>
      <c r="Y13" s="7"/>
      <c r="Z13" s="7"/>
      <c r="AA13" s="7"/>
      <c r="AB13" s="7"/>
    </row>
    <row r="14" spans="1:28" x14ac:dyDescent="0.25">
      <c r="A14">
        <v>110</v>
      </c>
      <c r="B14">
        <v>1</v>
      </c>
      <c r="C14">
        <v>-2.3417568731613918E-2</v>
      </c>
      <c r="D14">
        <v>1.9515305220236048E-2</v>
      </c>
      <c r="E14">
        <v>4.828935140013173</v>
      </c>
      <c r="F14">
        <v>4.5540485478734913</v>
      </c>
      <c r="G14" s="1">
        <f t="shared" si="0"/>
        <v>4.6914918439433322</v>
      </c>
      <c r="H14" s="1">
        <f t="shared" si="1"/>
        <v>11.025005833266832</v>
      </c>
      <c r="I14">
        <v>0</v>
      </c>
      <c r="J14">
        <v>0.99722819136350138</v>
      </c>
      <c r="U14" s="7"/>
      <c r="V14" s="7"/>
      <c r="W14" s="7"/>
      <c r="X14" s="7"/>
      <c r="Y14" s="7"/>
      <c r="Z14" s="7"/>
      <c r="AA14" s="7"/>
      <c r="AB14" s="7"/>
    </row>
    <row r="15" spans="1:28" x14ac:dyDescent="0.25">
      <c r="A15">
        <v>115</v>
      </c>
      <c r="B15">
        <v>0.99427150826952593</v>
      </c>
      <c r="C15">
        <v>0.11761889405653581</v>
      </c>
      <c r="D15">
        <v>0.14568564917373211</v>
      </c>
      <c r="E15">
        <v>4.7155667430606654</v>
      </c>
      <c r="F15">
        <v>4.4088991103687931</v>
      </c>
      <c r="G15" s="1">
        <f t="shared" si="0"/>
        <v>4.5622329267147297</v>
      </c>
      <c r="H15" s="1">
        <f t="shared" si="1"/>
        <v>10.721247377779616</v>
      </c>
      <c r="I15">
        <v>0</v>
      </c>
      <c r="J15">
        <v>0.99402882172553186</v>
      </c>
      <c r="U15" s="7"/>
      <c r="V15" s="7"/>
      <c r="W15" s="7"/>
      <c r="X15" s="7"/>
      <c r="Y15" s="7"/>
      <c r="Z15" s="7"/>
      <c r="AA15" s="7"/>
      <c r="AB15" s="7"/>
    </row>
    <row r="16" spans="1:28" x14ac:dyDescent="0.25">
      <c r="A16">
        <v>120</v>
      </c>
      <c r="B16">
        <v>0.9999999999999859</v>
      </c>
      <c r="C16">
        <v>0.1193952826101166</v>
      </c>
      <c r="D16">
        <v>0.14124227455533939</v>
      </c>
      <c r="E16">
        <v>4.6451616485614089</v>
      </c>
      <c r="F16">
        <v>4.3192661657496316</v>
      </c>
      <c r="G16" s="1">
        <f t="shared" si="0"/>
        <v>4.4822139071555203</v>
      </c>
      <c r="H16" s="1">
        <f t="shared" si="1"/>
        <v>10.533202681815473</v>
      </c>
      <c r="I16">
        <v>0</v>
      </c>
      <c r="J16">
        <v>0.87678347966103165</v>
      </c>
      <c r="U16" s="7"/>
      <c r="V16" s="7"/>
      <c r="W16" s="7"/>
      <c r="X16" s="7"/>
      <c r="Y16" s="7"/>
      <c r="Z16" s="7"/>
      <c r="AA16" s="7"/>
      <c r="AB16" s="7"/>
    </row>
    <row r="17" spans="1:28" x14ac:dyDescent="0.25">
      <c r="A17">
        <v>125</v>
      </c>
      <c r="B17">
        <v>1</v>
      </c>
      <c r="C17">
        <v>-5.7531313815743987E-2</v>
      </c>
      <c r="D17">
        <v>9.5893567830264745E-2</v>
      </c>
      <c r="E17">
        <v>4.5803115952129447</v>
      </c>
      <c r="F17">
        <v>4.2461614391197413</v>
      </c>
      <c r="G17" s="1">
        <f t="shared" si="0"/>
        <v>4.413236517166343</v>
      </c>
      <c r="H17" s="1">
        <f t="shared" si="1"/>
        <v>10.371105815340906</v>
      </c>
      <c r="I17">
        <v>0</v>
      </c>
      <c r="J17">
        <v>0.99794813873852184</v>
      </c>
      <c r="U17" s="7"/>
      <c r="V17" s="7"/>
      <c r="W17" s="7"/>
      <c r="X17" s="7"/>
      <c r="Y17" s="7"/>
      <c r="Z17" s="7"/>
      <c r="AA17" s="7"/>
      <c r="AB17" s="7"/>
    </row>
    <row r="18" spans="1:28" x14ac:dyDescent="0.25">
      <c r="A18">
        <v>130</v>
      </c>
      <c r="B18">
        <v>0.99999999999993072</v>
      </c>
      <c r="C18">
        <v>7.7237739103650505E-2</v>
      </c>
      <c r="D18">
        <v>-3.4800466539100211E-2</v>
      </c>
      <c r="E18">
        <v>4.5079656821754801</v>
      </c>
      <c r="F18">
        <v>4.1596514751308282</v>
      </c>
      <c r="G18" s="1">
        <f t="shared" si="0"/>
        <v>4.3338085786531542</v>
      </c>
      <c r="H18" s="1">
        <f t="shared" si="1"/>
        <v>10.184450159834913</v>
      </c>
      <c r="I18">
        <v>0</v>
      </c>
      <c r="J18">
        <v>0.99801750511830878</v>
      </c>
      <c r="U18" s="7"/>
      <c r="V18" s="7"/>
      <c r="W18" s="7"/>
      <c r="X18" s="7"/>
      <c r="Y18" s="7"/>
      <c r="Z18" s="7"/>
      <c r="AA18" s="7"/>
      <c r="AB18" s="7"/>
    </row>
    <row r="19" spans="1:28" x14ac:dyDescent="0.25">
      <c r="A19">
        <v>135</v>
      </c>
      <c r="B19">
        <v>1</v>
      </c>
      <c r="C19">
        <v>3.4072821419502318E-2</v>
      </c>
      <c r="D19">
        <v>0.11546071981505231</v>
      </c>
      <c r="E19">
        <v>4.429157797852052</v>
      </c>
      <c r="F19">
        <v>4.0907281536346431</v>
      </c>
      <c r="G19" s="1">
        <f t="shared" si="0"/>
        <v>4.259942975743348</v>
      </c>
      <c r="H19" s="1">
        <f t="shared" si="1"/>
        <v>10.010865992996868</v>
      </c>
      <c r="I19">
        <v>0</v>
      </c>
      <c r="J19">
        <v>0.99813094090850929</v>
      </c>
      <c r="U19" s="7"/>
      <c r="V19" s="7"/>
      <c r="W19" s="7"/>
      <c r="X19" s="7"/>
      <c r="Y19" s="7"/>
      <c r="Z19" s="7"/>
      <c r="AA19" s="7"/>
      <c r="AB19" s="7"/>
    </row>
    <row r="20" spans="1:28" x14ac:dyDescent="0.25">
      <c r="A20">
        <v>140</v>
      </c>
      <c r="B20">
        <v>1</v>
      </c>
      <c r="C20">
        <v>-7.1713053814722011E-2</v>
      </c>
      <c r="D20">
        <v>-2.9970320331276071E-2</v>
      </c>
      <c r="E20">
        <v>4.3371286011611376</v>
      </c>
      <c r="F20">
        <v>4.0130476726734656</v>
      </c>
      <c r="G20" s="1">
        <f t="shared" si="0"/>
        <v>4.1750881369173012</v>
      </c>
      <c r="H20" s="1">
        <f t="shared" si="1"/>
        <v>9.8114571217556588</v>
      </c>
      <c r="I20">
        <v>0</v>
      </c>
      <c r="J20">
        <v>0.99783668173337714</v>
      </c>
      <c r="U20" s="7"/>
      <c r="V20" s="7"/>
      <c r="W20" s="7"/>
      <c r="X20" s="7"/>
      <c r="Y20" s="7"/>
      <c r="Z20" s="7"/>
      <c r="AA20" s="7"/>
      <c r="AB20" s="7"/>
    </row>
    <row r="21" spans="1:28" x14ac:dyDescent="0.25">
      <c r="A21">
        <v>145</v>
      </c>
      <c r="B21">
        <v>0.99999999999996148</v>
      </c>
      <c r="C21">
        <v>0.1049646146468218</v>
      </c>
      <c r="D21">
        <v>-0.10501556029555929</v>
      </c>
      <c r="E21">
        <v>4.300338332312319</v>
      </c>
      <c r="F21">
        <v>3.9903361752834479</v>
      </c>
      <c r="G21" s="1">
        <f t="shared" si="0"/>
        <v>4.1453372537978836</v>
      </c>
      <c r="H21" s="1">
        <f t="shared" si="1"/>
        <v>9.7415425464250269</v>
      </c>
      <c r="I21">
        <v>0</v>
      </c>
      <c r="J21">
        <v>0.99854003234846078</v>
      </c>
      <c r="U21" s="7"/>
      <c r="V21" s="7"/>
      <c r="W21" s="7"/>
      <c r="X21" s="7"/>
      <c r="Y21" s="7"/>
      <c r="Z21" s="7"/>
      <c r="AA21" s="7"/>
      <c r="AB21" s="7"/>
    </row>
    <row r="22" spans="1:28" x14ac:dyDescent="0.25">
      <c r="A22">
        <v>150</v>
      </c>
      <c r="B22">
        <v>0.99764865156316629</v>
      </c>
      <c r="C22">
        <v>8.7388506064095984E-4</v>
      </c>
      <c r="D22">
        <v>7.4707046001096475E-5</v>
      </c>
      <c r="E22">
        <v>4.1708155246300667</v>
      </c>
      <c r="F22">
        <v>3.887197844634692</v>
      </c>
      <c r="G22" s="1">
        <f t="shared" si="0"/>
        <v>4.0290066846323791</v>
      </c>
      <c r="H22" s="1">
        <f t="shared" si="1"/>
        <v>9.468165708886092</v>
      </c>
      <c r="I22">
        <v>0</v>
      </c>
      <c r="J22">
        <v>0.99634834696420149</v>
      </c>
      <c r="U22" s="7"/>
      <c r="V22" s="7"/>
      <c r="W22" s="7"/>
      <c r="X22" s="7"/>
      <c r="Y22" s="7"/>
      <c r="Z22" s="7"/>
      <c r="AA22" s="7"/>
      <c r="AB22" s="7"/>
    </row>
    <row r="23" spans="1:28" x14ac:dyDescent="0.25">
      <c r="A23">
        <v>155</v>
      </c>
      <c r="B23">
        <v>0.999999999999995</v>
      </c>
      <c r="C23">
        <v>0.1048439664837725</v>
      </c>
      <c r="D23">
        <v>6.8774083697372104E-2</v>
      </c>
      <c r="E23">
        <v>4.1578617203330452</v>
      </c>
      <c r="F23">
        <v>3.9032149993888621</v>
      </c>
      <c r="G23" s="1">
        <f t="shared" si="0"/>
        <v>4.0305383598609534</v>
      </c>
      <c r="H23" s="1">
        <f t="shared" si="1"/>
        <v>9.4717651456732401</v>
      </c>
      <c r="I23">
        <v>0</v>
      </c>
      <c r="J23">
        <v>0.91826833178158895</v>
      </c>
      <c r="U23" s="7"/>
      <c r="V23" s="7"/>
      <c r="W23" s="7"/>
      <c r="X23" s="7"/>
      <c r="Y23" s="7"/>
      <c r="Z23" s="7"/>
      <c r="AA23" s="7"/>
      <c r="AB23" s="7"/>
    </row>
    <row r="24" spans="1:28" x14ac:dyDescent="0.25">
      <c r="A24">
        <v>160</v>
      </c>
      <c r="B24">
        <v>1</v>
      </c>
      <c r="C24">
        <v>0.13450872568861241</v>
      </c>
      <c r="D24">
        <v>0.15580487656385489</v>
      </c>
      <c r="E24">
        <v>4.0850032142038906</v>
      </c>
      <c r="F24">
        <v>3.867262160767027</v>
      </c>
      <c r="G24" s="1">
        <f t="shared" si="0"/>
        <v>3.9761326874854586</v>
      </c>
      <c r="H24" s="1">
        <f t="shared" si="1"/>
        <v>9.3439118155908272</v>
      </c>
      <c r="I24">
        <v>0</v>
      </c>
      <c r="J24">
        <v>0.99852871913695396</v>
      </c>
      <c r="U24" s="7"/>
      <c r="V24" s="7"/>
      <c r="W24" s="7"/>
      <c r="X24" s="7"/>
      <c r="Y24" s="7"/>
      <c r="Z24" s="7"/>
      <c r="AA24" s="7"/>
      <c r="AB24" s="7"/>
    </row>
    <row r="25" spans="1:28" x14ac:dyDescent="0.25">
      <c r="A25">
        <v>165</v>
      </c>
      <c r="B25">
        <v>1</v>
      </c>
      <c r="C25">
        <v>-0.1224587750384204</v>
      </c>
      <c r="D25">
        <v>7.9772274107224872E-2</v>
      </c>
      <c r="E25">
        <v>4.0597224189470449</v>
      </c>
      <c r="F25">
        <v>3.8540494787463628</v>
      </c>
      <c r="G25" s="1">
        <f t="shared" si="0"/>
        <v>3.9568859488467041</v>
      </c>
      <c r="H25" s="1">
        <f t="shared" si="1"/>
        <v>9.2986819797897553</v>
      </c>
      <c r="I25">
        <v>0</v>
      </c>
      <c r="J25">
        <v>0.99890470134272069</v>
      </c>
      <c r="U25" s="7"/>
      <c r="V25" s="7"/>
      <c r="W25" s="7"/>
      <c r="X25" s="7"/>
      <c r="Y25" s="7"/>
      <c r="Z25" s="7"/>
      <c r="AA25" s="7"/>
      <c r="AB25" s="7"/>
    </row>
    <row r="26" spans="1:28" x14ac:dyDescent="0.25">
      <c r="A26">
        <v>170</v>
      </c>
      <c r="B26">
        <v>1</v>
      </c>
      <c r="C26">
        <v>-0.1550666186619882</v>
      </c>
      <c r="D26">
        <v>-3.7534703475695249E-3</v>
      </c>
      <c r="E26">
        <v>4.0052376464825432</v>
      </c>
      <c r="F26">
        <v>3.8247787091557468</v>
      </c>
      <c r="G26" s="1">
        <f t="shared" si="0"/>
        <v>3.915008177819145</v>
      </c>
      <c r="H26" s="1">
        <f t="shared" si="1"/>
        <v>9.2002692178749914</v>
      </c>
      <c r="I26">
        <v>0</v>
      </c>
      <c r="J26">
        <v>0.99892903979519476</v>
      </c>
      <c r="U26" s="7"/>
      <c r="V26" s="7"/>
      <c r="W26" s="7"/>
      <c r="X26" s="7"/>
      <c r="Y26" s="7"/>
      <c r="Z26" s="7"/>
      <c r="AA26" s="7"/>
      <c r="AB26" s="7"/>
    </row>
    <row r="27" spans="1:28" x14ac:dyDescent="0.25">
      <c r="A27">
        <v>175</v>
      </c>
      <c r="B27">
        <v>1</v>
      </c>
      <c r="C27">
        <v>-5.7761717777444468E-4</v>
      </c>
      <c r="D27">
        <v>8.1393940941255183E-2</v>
      </c>
      <c r="E27">
        <v>3.9774762195658848</v>
      </c>
      <c r="F27">
        <v>3.806697920053129</v>
      </c>
      <c r="G27" s="1">
        <f t="shared" si="0"/>
        <v>3.8920870698095067</v>
      </c>
      <c r="H27" s="1">
        <f t="shared" si="1"/>
        <v>9.1464046140523418</v>
      </c>
      <c r="I27">
        <v>0</v>
      </c>
      <c r="J27">
        <v>0.99928242239141507</v>
      </c>
      <c r="U27" s="7"/>
      <c r="V27" s="7"/>
      <c r="W27" s="7"/>
      <c r="X27" s="7"/>
      <c r="Y27" s="7"/>
      <c r="Z27" s="7"/>
      <c r="AA27" s="7"/>
      <c r="AB27" s="7"/>
    </row>
    <row r="28" spans="1:28" x14ac:dyDescent="0.25">
      <c r="A28">
        <v>180</v>
      </c>
      <c r="B28">
        <v>1</v>
      </c>
      <c r="C28">
        <v>-3.2645105265827243E-2</v>
      </c>
      <c r="D28">
        <v>1.030573459713521E-2</v>
      </c>
      <c r="E28">
        <v>3.9405060327024999</v>
      </c>
      <c r="F28">
        <v>3.7826235661751531</v>
      </c>
      <c r="G28" s="1">
        <f t="shared" si="0"/>
        <v>3.8615647994388267</v>
      </c>
      <c r="H28" s="1">
        <f t="shared" si="1"/>
        <v>9.0746772786812429</v>
      </c>
      <c r="I28">
        <v>0</v>
      </c>
      <c r="J28">
        <v>0.99978668719203356</v>
      </c>
      <c r="U28" s="7"/>
      <c r="V28" s="7"/>
      <c r="W28" s="7"/>
      <c r="X28" s="7"/>
      <c r="Y28" s="7"/>
      <c r="Z28" s="7"/>
      <c r="AA28" s="7"/>
      <c r="AB28" s="7"/>
    </row>
    <row r="29" spans="1:28" x14ac:dyDescent="0.25">
      <c r="A29">
        <v>185</v>
      </c>
      <c r="B29">
        <v>1</v>
      </c>
      <c r="C29">
        <v>-0.1108904462472723</v>
      </c>
      <c r="D29">
        <v>-7.9843062553805813E-3</v>
      </c>
      <c r="E29">
        <v>3.864624235033066</v>
      </c>
      <c r="F29">
        <v>3.7124123425877591</v>
      </c>
      <c r="G29" s="1">
        <f t="shared" si="0"/>
        <v>3.7885182888104127</v>
      </c>
      <c r="H29" s="1">
        <f t="shared" si="1"/>
        <v>8.9030179787044705</v>
      </c>
      <c r="I29">
        <v>0</v>
      </c>
      <c r="J29">
        <v>0.9991440570069039</v>
      </c>
      <c r="U29" s="7"/>
      <c r="V29" s="7"/>
      <c r="W29" s="7"/>
      <c r="X29" s="7"/>
      <c r="Y29" s="7"/>
      <c r="Z29" s="7"/>
      <c r="AA29" s="7"/>
      <c r="AB29" s="7"/>
    </row>
    <row r="30" spans="1:28" x14ac:dyDescent="0.25">
      <c r="A30">
        <v>190</v>
      </c>
      <c r="B30">
        <v>1</v>
      </c>
      <c r="C30">
        <v>-9.357239737297561E-2</v>
      </c>
      <c r="D30">
        <v>0.1070892120128015</v>
      </c>
      <c r="E30">
        <v>3.8691580683402669</v>
      </c>
      <c r="F30">
        <v>3.7287899228646268</v>
      </c>
      <c r="G30" s="1">
        <f t="shared" si="0"/>
        <v>3.7989739956024469</v>
      </c>
      <c r="H30" s="1">
        <f t="shared" si="1"/>
        <v>8.9275888896657509</v>
      </c>
      <c r="I30">
        <v>0</v>
      </c>
      <c r="J30">
        <v>0.99999999999036782</v>
      </c>
      <c r="U30" s="7"/>
      <c r="V30" s="7"/>
      <c r="W30" s="7"/>
      <c r="X30" s="7"/>
      <c r="Y30" s="7"/>
      <c r="Z30" s="7"/>
      <c r="AA30" s="7"/>
      <c r="AB30" s="7"/>
    </row>
    <row r="31" spans="1:28" x14ac:dyDescent="0.25">
      <c r="A31">
        <v>195</v>
      </c>
      <c r="B31">
        <v>1</v>
      </c>
      <c r="C31">
        <v>9.1235458604755459E-2</v>
      </c>
      <c r="D31">
        <v>9.7039222332681641E-2</v>
      </c>
      <c r="E31">
        <v>3.8167509389936138</v>
      </c>
      <c r="F31">
        <v>3.6816379083156812</v>
      </c>
      <c r="G31" s="1">
        <f t="shared" si="0"/>
        <v>3.7491944236546475</v>
      </c>
      <c r="H31" s="1">
        <f t="shared" si="1"/>
        <v>8.8106068955884211</v>
      </c>
      <c r="I31">
        <v>0</v>
      </c>
      <c r="J31">
        <v>0.99999999998439038</v>
      </c>
      <c r="U31" s="7"/>
      <c r="V31" s="7"/>
      <c r="W31" s="7"/>
      <c r="X31" s="7"/>
      <c r="Y31" s="7"/>
      <c r="Z31" s="7"/>
      <c r="AA31" s="7"/>
      <c r="AB31" s="7"/>
    </row>
    <row r="32" spans="1:28" x14ac:dyDescent="0.25">
      <c r="A32">
        <v>200</v>
      </c>
      <c r="B32">
        <v>1</v>
      </c>
      <c r="C32">
        <v>3.4904950419624041E-2</v>
      </c>
      <c r="D32">
        <v>0.17774278276342501</v>
      </c>
      <c r="E32">
        <v>3.780370291645573</v>
      </c>
      <c r="F32">
        <v>3.659625255254404</v>
      </c>
      <c r="G32" s="1">
        <f t="shared" si="0"/>
        <v>3.7199977734499887</v>
      </c>
      <c r="H32" s="1">
        <f t="shared" si="1"/>
        <v>8.7419947676074745</v>
      </c>
      <c r="I32">
        <v>0</v>
      </c>
      <c r="J32">
        <v>0.99999999542423934</v>
      </c>
      <c r="U32" s="7"/>
      <c r="V32" s="7"/>
      <c r="W32" s="7"/>
      <c r="X32" s="7"/>
      <c r="Y32" s="7"/>
      <c r="Z32" s="7"/>
      <c r="AA32" s="7"/>
      <c r="AB32" s="7"/>
    </row>
    <row r="33" spans="1:28" x14ac:dyDescent="0.25">
      <c r="A33">
        <v>205</v>
      </c>
      <c r="B33">
        <v>1</v>
      </c>
      <c r="C33">
        <v>2.0899292059071799E-2</v>
      </c>
      <c r="D33">
        <v>-1.184898949669955E-2</v>
      </c>
      <c r="E33">
        <v>3.7876390458119258</v>
      </c>
      <c r="F33">
        <v>3.6532681164256529</v>
      </c>
      <c r="G33" s="1">
        <f t="shared" si="0"/>
        <v>3.7204535811187895</v>
      </c>
      <c r="H33" s="1">
        <f t="shared" si="1"/>
        <v>8.7430659156291561</v>
      </c>
      <c r="I33">
        <v>0</v>
      </c>
      <c r="J33">
        <v>0.999999999998192</v>
      </c>
      <c r="U33" s="7"/>
      <c r="V33" s="7"/>
      <c r="W33" s="7"/>
      <c r="X33" s="7"/>
      <c r="Y33" s="7"/>
      <c r="Z33" s="7"/>
      <c r="AA33" s="7"/>
      <c r="AB33" s="7"/>
    </row>
    <row r="34" spans="1:28" x14ac:dyDescent="0.25">
      <c r="A34">
        <v>210</v>
      </c>
      <c r="B34">
        <v>1</v>
      </c>
      <c r="C34">
        <v>4.7581499930313244E-3</v>
      </c>
      <c r="D34">
        <v>0.1193927936963336</v>
      </c>
      <c r="E34">
        <v>3.7367367808207721</v>
      </c>
      <c r="F34">
        <v>3.6062026493322819</v>
      </c>
      <c r="G34" s="1">
        <f t="shared" si="0"/>
        <v>3.671469715076527</v>
      </c>
      <c r="H34" s="1">
        <f t="shared" si="1"/>
        <v>8.6279538304298384</v>
      </c>
      <c r="I34">
        <v>0</v>
      </c>
      <c r="J34">
        <v>0.9999999999887319</v>
      </c>
      <c r="U34" s="7"/>
      <c r="V34" s="7"/>
      <c r="W34" s="7"/>
      <c r="X34" s="7"/>
      <c r="Y34" s="7"/>
      <c r="Z34" s="7"/>
      <c r="AA34" s="7"/>
      <c r="AB34" s="7"/>
    </row>
    <row r="35" spans="1:28" x14ac:dyDescent="0.25">
      <c r="A35">
        <v>215</v>
      </c>
      <c r="B35">
        <v>1</v>
      </c>
      <c r="C35">
        <v>8.0609236631860468E-2</v>
      </c>
      <c r="D35">
        <v>8.3821744932789946E-2</v>
      </c>
      <c r="E35">
        <v>3.6945760002229791</v>
      </c>
      <c r="F35">
        <v>3.5694065179254988</v>
      </c>
      <c r="G35" s="1">
        <f t="shared" si="0"/>
        <v>3.6319912590742387</v>
      </c>
      <c r="H35" s="1">
        <f t="shared" si="1"/>
        <v>8.5351794588244605</v>
      </c>
      <c r="I35">
        <v>0</v>
      </c>
      <c r="J35">
        <v>0.99999999998854261</v>
      </c>
      <c r="U35" s="7"/>
      <c r="V35" s="7"/>
      <c r="W35" s="7"/>
      <c r="X35" s="7"/>
      <c r="Y35" s="7"/>
      <c r="Z35" s="7"/>
      <c r="AA35" s="7"/>
      <c r="AB35" s="7"/>
    </row>
    <row r="36" spans="1:28" x14ac:dyDescent="0.25">
      <c r="A36">
        <v>220</v>
      </c>
      <c r="B36">
        <v>1</v>
      </c>
      <c r="C36">
        <v>0.1618787650334807</v>
      </c>
      <c r="D36">
        <v>-0.14846763550455139</v>
      </c>
      <c r="E36">
        <v>3.6540544370870451</v>
      </c>
      <c r="F36">
        <v>3.543101388623048</v>
      </c>
      <c r="G36" s="1">
        <f t="shared" si="0"/>
        <v>3.5985779128550464</v>
      </c>
      <c r="H36" s="1">
        <f t="shared" si="1"/>
        <v>8.4566580952093595</v>
      </c>
      <c r="I36">
        <v>0</v>
      </c>
      <c r="J36">
        <v>0.99999999999870404</v>
      </c>
      <c r="U36" s="7"/>
      <c r="V36" s="7"/>
      <c r="W36" s="7"/>
      <c r="X36" s="7"/>
      <c r="Y36" s="7"/>
      <c r="Z36" s="7"/>
      <c r="AA36" s="7"/>
      <c r="AB36" s="7"/>
    </row>
    <row r="37" spans="1:28" x14ac:dyDescent="0.25">
      <c r="A37">
        <v>225</v>
      </c>
      <c r="B37">
        <v>1</v>
      </c>
      <c r="C37">
        <v>9.9463265130976544E-2</v>
      </c>
      <c r="D37">
        <v>-3.1292882421042258E-2</v>
      </c>
      <c r="E37">
        <v>3.6085689463920101</v>
      </c>
      <c r="F37">
        <v>3.5228100282465098</v>
      </c>
      <c r="G37" s="1">
        <f t="shared" si="0"/>
        <v>3.5656894873192599</v>
      </c>
      <c r="H37" s="1">
        <f t="shared" si="1"/>
        <v>8.3793702952002604</v>
      </c>
      <c r="I37">
        <v>0</v>
      </c>
      <c r="J37">
        <v>0.99999999998749978</v>
      </c>
      <c r="U37" s="7"/>
      <c r="V37" s="7"/>
      <c r="W37" s="7"/>
      <c r="X37" s="7"/>
      <c r="Y37" s="7"/>
      <c r="Z37" s="7"/>
      <c r="AA37" s="7"/>
      <c r="AB37" s="7"/>
    </row>
    <row r="38" spans="1:28" x14ac:dyDescent="0.25">
      <c r="A38">
        <v>230</v>
      </c>
      <c r="B38">
        <v>1</v>
      </c>
      <c r="C38">
        <v>1.065367108678783E-2</v>
      </c>
      <c r="D38">
        <v>1.840909122873886E-2</v>
      </c>
      <c r="E38">
        <v>3.5828330057904552</v>
      </c>
      <c r="F38">
        <v>3.541992257360278</v>
      </c>
      <c r="G38" s="1">
        <f t="shared" si="0"/>
        <v>3.5624126315753664</v>
      </c>
      <c r="H38" s="1">
        <f t="shared" si="1"/>
        <v>8.3716696842021108</v>
      </c>
      <c r="I38">
        <v>0</v>
      </c>
      <c r="J38">
        <v>1</v>
      </c>
      <c r="U38" s="7"/>
      <c r="V38" s="7"/>
      <c r="W38" s="7"/>
      <c r="X38" s="7"/>
      <c r="Y38" s="7"/>
      <c r="Z38" s="7"/>
      <c r="AA38" s="7"/>
      <c r="AB38" s="7"/>
    </row>
    <row r="39" spans="1:28" x14ac:dyDescent="0.25">
      <c r="A39">
        <v>235</v>
      </c>
      <c r="B39">
        <v>1</v>
      </c>
      <c r="C39">
        <v>-9.6661137638246375E-4</v>
      </c>
      <c r="D39">
        <v>3.6135258631559107E-2</v>
      </c>
      <c r="E39">
        <v>3.5056518472971021</v>
      </c>
      <c r="F39">
        <v>3.5188085183090121</v>
      </c>
      <c r="G39" s="1">
        <f t="shared" si="0"/>
        <v>3.5122301828030569</v>
      </c>
      <c r="H39" s="1">
        <f t="shared" si="1"/>
        <v>8.2537409295871846</v>
      </c>
      <c r="I39">
        <v>0</v>
      </c>
      <c r="J39">
        <v>1</v>
      </c>
      <c r="U39" s="7"/>
      <c r="V39" s="7"/>
      <c r="W39" s="7"/>
      <c r="X39" s="7"/>
      <c r="Y39" s="7"/>
      <c r="Z39" s="7"/>
      <c r="AA39" s="7"/>
      <c r="AB39" s="7"/>
    </row>
    <row r="40" spans="1:28" x14ac:dyDescent="0.25">
      <c r="A40">
        <v>240</v>
      </c>
      <c r="B40">
        <v>1</v>
      </c>
      <c r="C40">
        <v>0.26988430609501529</v>
      </c>
      <c r="D40">
        <v>-2.3163080436397591E-2</v>
      </c>
      <c r="E40">
        <v>3.3865601880320222</v>
      </c>
      <c r="F40">
        <v>3.4972129230950229</v>
      </c>
      <c r="G40" s="1">
        <f t="shared" si="0"/>
        <v>3.4418865555635225</v>
      </c>
      <c r="H40" s="1">
        <f t="shared" si="1"/>
        <v>8.0884334055742784</v>
      </c>
      <c r="I40">
        <v>0</v>
      </c>
      <c r="J40">
        <v>0.99999999999965561</v>
      </c>
      <c r="U40" s="7"/>
      <c r="V40" s="7"/>
      <c r="W40" s="7"/>
      <c r="X40" s="7"/>
      <c r="Y40" s="7"/>
      <c r="Z40" s="7"/>
      <c r="AA40" s="7"/>
      <c r="AB40" s="7"/>
    </row>
    <row r="41" spans="1:28" x14ac:dyDescent="0.25">
      <c r="A41">
        <v>245</v>
      </c>
      <c r="B41">
        <v>1</v>
      </c>
      <c r="C41">
        <v>0.18097524165994389</v>
      </c>
      <c r="D41">
        <v>0.15277676129393589</v>
      </c>
      <c r="E41">
        <v>3.2710898923615508</v>
      </c>
      <c r="F41">
        <v>3.2844048287748731</v>
      </c>
      <c r="G41" s="1">
        <f t="shared" si="0"/>
        <v>3.2777473605682119</v>
      </c>
      <c r="H41" s="1">
        <f t="shared" si="1"/>
        <v>7.7027062973352987</v>
      </c>
      <c r="I41">
        <v>0</v>
      </c>
      <c r="J41">
        <v>1</v>
      </c>
      <c r="U41" s="7"/>
      <c r="V41" s="7"/>
      <c r="W41" s="7"/>
      <c r="X41" s="7"/>
      <c r="Y41" s="7"/>
      <c r="Z41" s="7"/>
      <c r="AA41" s="7"/>
      <c r="AB41" s="7"/>
    </row>
  </sheetData>
  <mergeCells count="1">
    <mergeCell ref="B4:J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28E6-E272-42FA-9A31-90B7C252CF07}">
  <dimension ref="A1:AB41"/>
  <sheetViews>
    <sheetView workbookViewId="0">
      <selection activeCell="B3" sqref="B3"/>
    </sheetView>
  </sheetViews>
  <sheetFormatPr defaultRowHeight="15" x14ac:dyDescent="0.25"/>
  <cols>
    <col min="7" max="8" width="13.42578125" customWidth="1"/>
    <col min="21" max="28" width="13.7109375" bestFit="1" customWidth="1"/>
  </cols>
  <sheetData>
    <row r="1" spans="1:28" x14ac:dyDescent="0.25">
      <c r="A1" t="s">
        <v>44</v>
      </c>
    </row>
    <row r="2" spans="1:28" x14ac:dyDescent="0.25">
      <c r="A2" t="s">
        <v>45</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row>
    <row r="6" spans="1:28" x14ac:dyDescent="0.25">
      <c r="A6">
        <v>70</v>
      </c>
      <c r="B6">
        <v>0.98606438224096482</v>
      </c>
      <c r="C6">
        <v>-2.817448112601589E-2</v>
      </c>
      <c r="D6">
        <v>0.11117525006361979</v>
      </c>
      <c r="E6">
        <v>6.0504636981103044</v>
      </c>
      <c r="F6">
        <v>6.0959190700955048</v>
      </c>
      <c r="G6" s="1">
        <f>AVERAGE(E6:F6)</f>
        <v>6.0731913841029046</v>
      </c>
      <c r="H6" s="1">
        <f>2.35*G6</f>
        <v>14.271999752641827</v>
      </c>
      <c r="I6">
        <v>0</v>
      </c>
      <c r="J6">
        <v>0.98025400576344446</v>
      </c>
      <c r="U6" s="8"/>
      <c r="V6" s="8"/>
      <c r="W6" s="8"/>
      <c r="X6" s="8"/>
      <c r="Y6" s="8"/>
      <c r="Z6" s="8"/>
      <c r="AA6" s="8"/>
      <c r="AB6" s="8"/>
    </row>
    <row r="7" spans="1:28" x14ac:dyDescent="0.25">
      <c r="A7">
        <v>75</v>
      </c>
      <c r="B7">
        <v>1</v>
      </c>
      <c r="C7">
        <v>4.5457292958307673E-2</v>
      </c>
      <c r="D7">
        <v>1.9527357614882779E-2</v>
      </c>
      <c r="E7">
        <v>5.8313210773214186</v>
      </c>
      <c r="F7">
        <v>5.6287875275014736</v>
      </c>
      <c r="G7" s="1">
        <f t="shared" ref="G7:G41" si="0">AVERAGE(E7:F7)</f>
        <v>5.7300543024114461</v>
      </c>
      <c r="H7" s="1">
        <f t="shared" ref="H7:H41" si="1">2.35*G7</f>
        <v>13.465627610666898</v>
      </c>
      <c r="I7">
        <v>0</v>
      </c>
      <c r="J7">
        <v>0.97200102499071683</v>
      </c>
      <c r="U7" s="8"/>
      <c r="V7" s="8"/>
      <c r="W7" s="8"/>
      <c r="X7" s="8"/>
      <c r="Y7" s="8"/>
      <c r="Z7" s="8"/>
      <c r="AA7" s="8"/>
      <c r="AB7" s="8"/>
    </row>
    <row r="8" spans="1:28" x14ac:dyDescent="0.25">
      <c r="A8">
        <v>80</v>
      </c>
      <c r="B8">
        <v>1</v>
      </c>
      <c r="C8">
        <v>0.20328304428753219</v>
      </c>
      <c r="D8">
        <v>0.16208206860099131</v>
      </c>
      <c r="E8">
        <v>5.6912959740649169</v>
      </c>
      <c r="F8">
        <v>5.3861750933789132</v>
      </c>
      <c r="G8" s="1">
        <f t="shared" si="0"/>
        <v>5.5387355337219155</v>
      </c>
      <c r="H8" s="1">
        <f t="shared" si="1"/>
        <v>13.016028504246503</v>
      </c>
      <c r="I8">
        <v>0</v>
      </c>
      <c r="J8">
        <v>0.98853779905625361</v>
      </c>
      <c r="U8" s="8"/>
      <c r="V8" s="8"/>
      <c r="W8" s="8"/>
      <c r="X8" s="8"/>
      <c r="Y8" s="8"/>
      <c r="Z8" s="8"/>
      <c r="AA8" s="8"/>
      <c r="AB8" s="8"/>
    </row>
    <row r="9" spans="1:28" x14ac:dyDescent="0.25">
      <c r="A9">
        <v>85</v>
      </c>
      <c r="B9">
        <v>1</v>
      </c>
      <c r="C9">
        <v>6.2633049534140936E-2</v>
      </c>
      <c r="D9">
        <v>-8.8921188244766941E-2</v>
      </c>
      <c r="E9">
        <v>5.495692739264701</v>
      </c>
      <c r="F9">
        <v>5.1709520514953597</v>
      </c>
      <c r="G9" s="1">
        <f t="shared" si="0"/>
        <v>5.3333223953800299</v>
      </c>
      <c r="H9" s="1">
        <f t="shared" si="1"/>
        <v>12.533307629143071</v>
      </c>
      <c r="I9">
        <v>0</v>
      </c>
      <c r="J9">
        <v>0.9889829788574438</v>
      </c>
      <c r="U9" s="8"/>
      <c r="V9" s="8"/>
      <c r="W9" s="8"/>
      <c r="X9" s="8"/>
      <c r="Y9" s="8"/>
      <c r="Z9" s="8"/>
      <c r="AA9" s="8"/>
      <c r="AB9" s="8"/>
    </row>
    <row r="10" spans="1:28" x14ac:dyDescent="0.25">
      <c r="A10">
        <v>90</v>
      </c>
      <c r="B10">
        <v>1</v>
      </c>
      <c r="C10">
        <v>-6.2131105628391782E-2</v>
      </c>
      <c r="D10">
        <v>-4.2162752230563851E-2</v>
      </c>
      <c r="E10">
        <v>5.3171241033638941</v>
      </c>
      <c r="F10">
        <v>5.0381754878186493</v>
      </c>
      <c r="G10" s="1">
        <f t="shared" si="0"/>
        <v>5.1776497955912717</v>
      </c>
      <c r="H10" s="1">
        <f t="shared" si="1"/>
        <v>12.167477019639488</v>
      </c>
      <c r="I10">
        <v>0</v>
      </c>
      <c r="J10">
        <v>0.98611603258991121</v>
      </c>
      <c r="U10" s="8"/>
      <c r="V10" s="8"/>
      <c r="W10" s="8"/>
      <c r="X10" s="8"/>
      <c r="Y10" s="8"/>
      <c r="Z10" s="8"/>
      <c r="AA10" s="8"/>
      <c r="AB10" s="8"/>
    </row>
    <row r="11" spans="1:28" x14ac:dyDescent="0.25">
      <c r="A11">
        <v>95</v>
      </c>
      <c r="B11">
        <v>1</v>
      </c>
      <c r="C11">
        <v>-8.1730478339068061E-2</v>
      </c>
      <c r="D11">
        <v>2.9360337496032979E-2</v>
      </c>
      <c r="E11">
        <v>5.1290930711089624</v>
      </c>
      <c r="F11">
        <v>4.9139729663406797</v>
      </c>
      <c r="G11" s="1">
        <f t="shared" si="0"/>
        <v>5.0215330187248206</v>
      </c>
      <c r="H11" s="1">
        <f t="shared" si="1"/>
        <v>11.80060259400333</v>
      </c>
      <c r="I11">
        <v>0</v>
      </c>
      <c r="J11">
        <v>0.98671764947683949</v>
      </c>
      <c r="U11" s="8"/>
      <c r="V11" s="8"/>
      <c r="W11" s="8"/>
      <c r="X11" s="8"/>
      <c r="Y11" s="8"/>
      <c r="Z11" s="8"/>
      <c r="AA11" s="8"/>
      <c r="AB11" s="8"/>
    </row>
    <row r="12" spans="1:28" x14ac:dyDescent="0.25">
      <c r="A12">
        <v>100</v>
      </c>
      <c r="B12">
        <v>1</v>
      </c>
      <c r="C12">
        <v>5.3826242138219717E-2</v>
      </c>
      <c r="D12">
        <v>6.3000572081146622E-2</v>
      </c>
      <c r="E12">
        <v>4.9555979878865006</v>
      </c>
      <c r="F12">
        <v>4.8157571765933067</v>
      </c>
      <c r="G12" s="1">
        <f t="shared" si="0"/>
        <v>4.8856775822399037</v>
      </c>
      <c r="H12" s="1">
        <f t="shared" si="1"/>
        <v>11.481342318263774</v>
      </c>
      <c r="I12">
        <v>0</v>
      </c>
      <c r="J12">
        <v>0.9910319864082836</v>
      </c>
      <c r="U12" s="8"/>
      <c r="V12" s="8"/>
      <c r="W12" s="8"/>
      <c r="X12" s="8"/>
      <c r="Y12" s="8"/>
      <c r="Z12" s="8"/>
      <c r="AA12" s="8"/>
      <c r="AB12" s="8"/>
    </row>
    <row r="13" spans="1:28" x14ac:dyDescent="0.25">
      <c r="A13">
        <v>105</v>
      </c>
      <c r="B13">
        <v>1</v>
      </c>
      <c r="C13">
        <v>5.7481768678337021E-2</v>
      </c>
      <c r="D13">
        <v>1.8890363679836111E-2</v>
      </c>
      <c r="E13">
        <v>4.7625793504147769</v>
      </c>
      <c r="F13">
        <v>4.6978138843973758</v>
      </c>
      <c r="G13" s="1">
        <f t="shared" si="0"/>
        <v>4.7301966174060759</v>
      </c>
      <c r="H13" s="1">
        <f t="shared" si="1"/>
        <v>11.11596205090428</v>
      </c>
      <c r="I13">
        <v>0</v>
      </c>
      <c r="J13">
        <v>0.99389262131092249</v>
      </c>
      <c r="U13" s="8"/>
      <c r="V13" s="8"/>
      <c r="W13" s="8"/>
      <c r="X13" s="8"/>
      <c r="Y13" s="8"/>
      <c r="Z13" s="8"/>
      <c r="AA13" s="8"/>
      <c r="AB13" s="8"/>
    </row>
    <row r="14" spans="1:28" x14ac:dyDescent="0.25">
      <c r="A14">
        <v>110</v>
      </c>
      <c r="B14">
        <v>0.99928481689818505</v>
      </c>
      <c r="C14">
        <v>3.7102004581268222E-2</v>
      </c>
      <c r="D14">
        <v>9.9798474831726214E-2</v>
      </c>
      <c r="E14">
        <v>4.6208055811993711</v>
      </c>
      <c r="F14">
        <v>4.6258532980819442</v>
      </c>
      <c r="G14" s="1">
        <f t="shared" si="0"/>
        <v>4.6233294396406581</v>
      </c>
      <c r="H14" s="1">
        <f t="shared" si="1"/>
        <v>10.864824183155546</v>
      </c>
      <c r="I14">
        <v>0</v>
      </c>
      <c r="J14">
        <v>0.99502061300139089</v>
      </c>
      <c r="U14" s="8"/>
      <c r="V14" s="8"/>
      <c r="W14" s="8"/>
      <c r="X14" s="8"/>
      <c r="Y14" s="8"/>
      <c r="Z14" s="8"/>
      <c r="AA14" s="8"/>
      <c r="AB14" s="8"/>
    </row>
    <row r="15" spans="1:28" x14ac:dyDescent="0.25">
      <c r="A15">
        <v>115</v>
      </c>
      <c r="B15">
        <v>1</v>
      </c>
      <c r="C15">
        <v>-0.20532746404989119</v>
      </c>
      <c r="D15">
        <v>5.5793049836144783E-2</v>
      </c>
      <c r="E15">
        <v>4.4836311011642236</v>
      </c>
      <c r="F15">
        <v>4.5375882233633664</v>
      </c>
      <c r="G15" s="1">
        <f t="shared" si="0"/>
        <v>4.5106096622637946</v>
      </c>
      <c r="H15" s="1">
        <f t="shared" si="1"/>
        <v>10.599932706319917</v>
      </c>
      <c r="I15">
        <v>0</v>
      </c>
      <c r="J15">
        <v>0.99606871927373264</v>
      </c>
      <c r="U15" s="8"/>
      <c r="V15" s="8"/>
      <c r="W15" s="8"/>
      <c r="X15" s="8"/>
      <c r="Y15" s="8"/>
      <c r="Z15" s="8"/>
      <c r="AA15" s="8"/>
      <c r="AB15" s="8"/>
    </row>
    <row r="16" spans="1:28" x14ac:dyDescent="0.25">
      <c r="A16">
        <v>120</v>
      </c>
      <c r="B16">
        <v>0.99999999997862066</v>
      </c>
      <c r="C16">
        <v>5.2801458984344643E-2</v>
      </c>
      <c r="D16">
        <v>-5.9690643115950667E-2</v>
      </c>
      <c r="E16">
        <v>4.379003929309893</v>
      </c>
      <c r="F16">
        <v>4.4742598262741931</v>
      </c>
      <c r="G16" s="1">
        <f t="shared" si="0"/>
        <v>4.426631877792043</v>
      </c>
      <c r="H16" s="1">
        <f t="shared" si="1"/>
        <v>10.402584912811301</v>
      </c>
      <c r="I16">
        <v>0</v>
      </c>
      <c r="J16">
        <v>0.99742694807282262</v>
      </c>
      <c r="U16" s="8"/>
      <c r="V16" s="8"/>
      <c r="W16" s="8"/>
      <c r="X16" s="8"/>
      <c r="Y16" s="8"/>
      <c r="Z16" s="8"/>
      <c r="AA16" s="8"/>
      <c r="AB16" s="8"/>
    </row>
    <row r="17" spans="1:28" x14ac:dyDescent="0.25">
      <c r="A17">
        <v>125</v>
      </c>
      <c r="B17">
        <v>1</v>
      </c>
      <c r="C17">
        <v>1.9454714753504881E-2</v>
      </c>
      <c r="D17">
        <v>5.267949394515626E-2</v>
      </c>
      <c r="E17">
        <v>4.2832795440335856</v>
      </c>
      <c r="F17">
        <v>4.3843411821433671</v>
      </c>
      <c r="G17" s="1">
        <f t="shared" si="0"/>
        <v>4.3338103630884763</v>
      </c>
      <c r="H17" s="1">
        <f t="shared" si="1"/>
        <v>10.184454353257919</v>
      </c>
      <c r="I17">
        <v>0</v>
      </c>
      <c r="J17">
        <v>0.99675012075846925</v>
      </c>
      <c r="U17" s="8"/>
      <c r="V17" s="8"/>
      <c r="W17" s="8"/>
      <c r="X17" s="8"/>
      <c r="Y17" s="8"/>
      <c r="Z17" s="8"/>
      <c r="AA17" s="8"/>
      <c r="AB17" s="8"/>
    </row>
    <row r="18" spans="1:28" x14ac:dyDescent="0.25">
      <c r="A18">
        <v>130</v>
      </c>
      <c r="B18">
        <v>0.99816364368750776</v>
      </c>
      <c r="C18">
        <v>8.6183318361904501E-2</v>
      </c>
      <c r="D18">
        <v>7.1863783931981007E-2</v>
      </c>
      <c r="E18">
        <v>4.2227397161367159</v>
      </c>
      <c r="F18">
        <v>4.3160222272357061</v>
      </c>
      <c r="G18" s="1">
        <f t="shared" si="0"/>
        <v>4.2693809716862106</v>
      </c>
      <c r="H18" s="1">
        <f t="shared" si="1"/>
        <v>10.033045283462595</v>
      </c>
      <c r="I18">
        <v>0</v>
      </c>
      <c r="J18">
        <v>0.99689039419053094</v>
      </c>
      <c r="U18" s="8"/>
      <c r="V18" s="8"/>
      <c r="W18" s="8"/>
      <c r="X18" s="8"/>
      <c r="Y18" s="8"/>
      <c r="Z18" s="8"/>
      <c r="AA18" s="8"/>
      <c r="AB18" s="8"/>
    </row>
    <row r="19" spans="1:28" x14ac:dyDescent="0.25">
      <c r="A19">
        <v>135</v>
      </c>
      <c r="B19">
        <v>0.99999999999998901</v>
      </c>
      <c r="C19">
        <v>-0.1094087234714151</v>
      </c>
      <c r="D19">
        <v>4.5771163253878151E-2</v>
      </c>
      <c r="E19">
        <v>4.186355130746624</v>
      </c>
      <c r="F19">
        <v>4.2652043072916364</v>
      </c>
      <c r="G19" s="1">
        <f t="shared" si="0"/>
        <v>4.2257797190191297</v>
      </c>
      <c r="H19" s="1">
        <f t="shared" si="1"/>
        <v>9.930582339694956</v>
      </c>
      <c r="I19">
        <v>0</v>
      </c>
      <c r="J19">
        <v>0.99787216206657259</v>
      </c>
      <c r="U19" s="8"/>
      <c r="V19" s="8"/>
      <c r="W19" s="8"/>
      <c r="X19" s="8"/>
      <c r="Y19" s="8"/>
      <c r="Z19" s="8"/>
      <c r="AA19" s="8"/>
      <c r="AB19" s="8"/>
    </row>
    <row r="20" spans="1:28" x14ac:dyDescent="0.25">
      <c r="A20">
        <v>140</v>
      </c>
      <c r="B20">
        <v>0.99825996696309482</v>
      </c>
      <c r="C20">
        <v>-7.2847014371641136E-2</v>
      </c>
      <c r="D20">
        <v>-2.5027421824256949E-2</v>
      </c>
      <c r="E20">
        <v>4.1353932599374721</v>
      </c>
      <c r="F20">
        <v>4.1981204694619221</v>
      </c>
      <c r="G20" s="1">
        <f t="shared" si="0"/>
        <v>4.1667568646996971</v>
      </c>
      <c r="H20" s="1">
        <f t="shared" si="1"/>
        <v>9.7918786320442877</v>
      </c>
      <c r="I20">
        <v>0</v>
      </c>
      <c r="J20">
        <v>0.99733458248563833</v>
      </c>
      <c r="U20" s="8"/>
      <c r="V20" s="8"/>
      <c r="W20" s="8"/>
      <c r="X20" s="8"/>
      <c r="Y20" s="8"/>
      <c r="Z20" s="8"/>
      <c r="AA20" s="8"/>
      <c r="AB20" s="8"/>
    </row>
    <row r="21" spans="1:28" x14ac:dyDescent="0.25">
      <c r="A21">
        <v>145</v>
      </c>
      <c r="B21">
        <v>1</v>
      </c>
      <c r="C21">
        <v>-9.32296976111705E-3</v>
      </c>
      <c r="D21">
        <v>-5.8945747191764368E-2</v>
      </c>
      <c r="E21">
        <v>4.1008219921344953</v>
      </c>
      <c r="F21">
        <v>4.1383240540617869</v>
      </c>
      <c r="G21" s="1">
        <f t="shared" si="0"/>
        <v>4.1195730230981411</v>
      </c>
      <c r="H21" s="1">
        <f t="shared" si="1"/>
        <v>9.6809966042806312</v>
      </c>
      <c r="I21">
        <v>0</v>
      </c>
      <c r="J21">
        <v>0.99772820617927083</v>
      </c>
      <c r="U21" s="8"/>
      <c r="V21" s="8"/>
      <c r="W21" s="8"/>
      <c r="X21" s="8"/>
      <c r="Y21" s="8"/>
      <c r="Z21" s="8"/>
      <c r="AA21" s="8"/>
      <c r="AB21" s="8"/>
    </row>
    <row r="22" spans="1:28" x14ac:dyDescent="0.25">
      <c r="A22">
        <v>150</v>
      </c>
      <c r="B22">
        <v>1</v>
      </c>
      <c r="C22">
        <v>-5.1748715585399403E-2</v>
      </c>
      <c r="D22">
        <v>3.9150152454010219E-2</v>
      </c>
      <c r="E22">
        <v>4.0692681805349498</v>
      </c>
      <c r="F22">
        <v>4.0977265779560064</v>
      </c>
      <c r="G22" s="1">
        <f t="shared" si="0"/>
        <v>4.0834973792454781</v>
      </c>
      <c r="H22" s="1">
        <f t="shared" si="1"/>
        <v>9.5962188412268734</v>
      </c>
      <c r="I22">
        <v>0</v>
      </c>
      <c r="J22">
        <v>0.9981641716875822</v>
      </c>
      <c r="U22" s="8"/>
      <c r="V22" s="8"/>
      <c r="W22" s="8"/>
      <c r="X22" s="8"/>
      <c r="Y22" s="8"/>
      <c r="Z22" s="8"/>
      <c r="AA22" s="8"/>
      <c r="AB22" s="8"/>
    </row>
    <row r="23" spans="1:28" x14ac:dyDescent="0.25">
      <c r="A23">
        <v>155</v>
      </c>
      <c r="B23">
        <v>1</v>
      </c>
      <c r="C23">
        <v>3.3493927358834268E-2</v>
      </c>
      <c r="D23">
        <v>3.5553324496619049E-2</v>
      </c>
      <c r="E23">
        <v>4.0479692659975868</v>
      </c>
      <c r="F23">
        <v>4.0641991161494104</v>
      </c>
      <c r="G23" s="1">
        <f t="shared" si="0"/>
        <v>4.0560841910734986</v>
      </c>
      <c r="H23" s="1">
        <f t="shared" si="1"/>
        <v>9.5317978490227215</v>
      </c>
      <c r="I23">
        <v>0</v>
      </c>
      <c r="J23">
        <v>0.99845913592529945</v>
      </c>
      <c r="U23" s="8"/>
      <c r="V23" s="8"/>
      <c r="W23" s="8"/>
      <c r="X23" s="8"/>
      <c r="Y23" s="8"/>
      <c r="Z23" s="8"/>
      <c r="AA23" s="8"/>
      <c r="AB23" s="8"/>
    </row>
    <row r="24" spans="1:28" x14ac:dyDescent="0.25">
      <c r="A24">
        <v>160</v>
      </c>
      <c r="B24">
        <v>0.9999999999999748</v>
      </c>
      <c r="C24">
        <v>9.9817051249407887E-2</v>
      </c>
      <c r="D24">
        <v>7.9433056338835073E-2</v>
      </c>
      <c r="E24">
        <v>3.9759922610302789</v>
      </c>
      <c r="F24">
        <v>3.9672441483861078</v>
      </c>
      <c r="G24" s="1">
        <f t="shared" si="0"/>
        <v>3.9716182047081934</v>
      </c>
      <c r="H24" s="1">
        <f t="shared" si="1"/>
        <v>9.3333027810642548</v>
      </c>
      <c r="I24">
        <v>0</v>
      </c>
      <c r="J24">
        <v>0.998168398351158</v>
      </c>
      <c r="U24" s="8"/>
      <c r="V24" s="8"/>
      <c r="W24" s="8"/>
      <c r="X24" s="8"/>
      <c r="Y24" s="8"/>
      <c r="Z24" s="8"/>
      <c r="AA24" s="8"/>
      <c r="AB24" s="8"/>
    </row>
    <row r="25" spans="1:28" x14ac:dyDescent="0.25">
      <c r="A25">
        <v>165</v>
      </c>
      <c r="B25">
        <v>1</v>
      </c>
      <c r="C25">
        <v>2.1469085626823519E-2</v>
      </c>
      <c r="D25">
        <v>-2.331302562127566E-2</v>
      </c>
      <c r="E25">
        <v>3.9546428486804648</v>
      </c>
      <c r="F25">
        <v>3.9280988392918879</v>
      </c>
      <c r="G25" s="1">
        <f t="shared" si="0"/>
        <v>3.9413708439861761</v>
      </c>
      <c r="H25" s="1">
        <f t="shared" si="1"/>
        <v>9.2622214833675134</v>
      </c>
      <c r="I25">
        <v>0</v>
      </c>
      <c r="J25">
        <v>0.99842791283220256</v>
      </c>
      <c r="U25" s="8"/>
      <c r="V25" s="8"/>
      <c r="W25" s="8"/>
      <c r="X25" s="8"/>
      <c r="Y25" s="8"/>
      <c r="Z25" s="8"/>
      <c r="AA25" s="8"/>
      <c r="AB25" s="8"/>
    </row>
    <row r="26" spans="1:28" x14ac:dyDescent="0.25">
      <c r="A26">
        <v>170</v>
      </c>
      <c r="B26">
        <v>1</v>
      </c>
      <c r="C26">
        <v>0.15794290117788859</v>
      </c>
      <c r="D26">
        <v>2.6417740558606802E-3</v>
      </c>
      <c r="E26">
        <v>3.899181415103723</v>
      </c>
      <c r="F26">
        <v>3.8559531349782361</v>
      </c>
      <c r="G26" s="1">
        <f t="shared" si="0"/>
        <v>3.8775672750409793</v>
      </c>
      <c r="H26" s="1">
        <f t="shared" si="1"/>
        <v>9.1122830963463013</v>
      </c>
      <c r="I26">
        <v>0</v>
      </c>
      <c r="J26">
        <v>0.99790279339827215</v>
      </c>
      <c r="U26" s="8"/>
      <c r="V26" s="8"/>
      <c r="W26" s="8"/>
      <c r="X26" s="8"/>
      <c r="Y26" s="8"/>
      <c r="Z26" s="8"/>
      <c r="AA26" s="8"/>
      <c r="AB26" s="8"/>
    </row>
    <row r="27" spans="1:28" x14ac:dyDescent="0.25">
      <c r="A27">
        <v>175</v>
      </c>
      <c r="B27">
        <v>1</v>
      </c>
      <c r="C27">
        <v>5.4810390852516752E-2</v>
      </c>
      <c r="D27">
        <v>-8.4620331347256147E-2</v>
      </c>
      <c r="E27">
        <v>3.8685283168289941</v>
      </c>
      <c r="F27">
        <v>3.8113987389684092</v>
      </c>
      <c r="G27" s="1">
        <f t="shared" si="0"/>
        <v>3.8399635278987017</v>
      </c>
      <c r="H27" s="1">
        <f t="shared" si="1"/>
        <v>9.0239142905619492</v>
      </c>
      <c r="I27">
        <v>0</v>
      </c>
      <c r="J27">
        <v>1</v>
      </c>
      <c r="U27" s="8"/>
      <c r="V27" s="8"/>
      <c r="W27" s="8"/>
      <c r="X27" s="8"/>
      <c r="Y27" s="8"/>
      <c r="Z27" s="8"/>
      <c r="AA27" s="8"/>
      <c r="AB27" s="8"/>
    </row>
    <row r="28" spans="1:28" x14ac:dyDescent="0.25">
      <c r="A28">
        <v>180</v>
      </c>
      <c r="B28">
        <v>1</v>
      </c>
      <c r="C28">
        <v>5.889719154278765E-2</v>
      </c>
      <c r="D28">
        <v>-1.609370884818969E-2</v>
      </c>
      <c r="E28">
        <v>3.8554909243672451</v>
      </c>
      <c r="F28">
        <v>3.7726456680637162</v>
      </c>
      <c r="G28" s="1">
        <f t="shared" si="0"/>
        <v>3.8140682962154804</v>
      </c>
      <c r="H28" s="1">
        <f t="shared" si="1"/>
        <v>8.9630604961063796</v>
      </c>
      <c r="I28">
        <v>0</v>
      </c>
      <c r="J28">
        <v>0.99711157520692451</v>
      </c>
      <c r="U28" s="8"/>
      <c r="V28" s="8"/>
      <c r="W28" s="8"/>
      <c r="X28" s="8"/>
      <c r="Y28" s="8"/>
      <c r="Z28" s="8"/>
      <c r="AA28" s="8"/>
      <c r="AB28" s="8"/>
    </row>
    <row r="29" spans="1:28" x14ac:dyDescent="0.25">
      <c r="A29">
        <v>185</v>
      </c>
      <c r="B29">
        <v>1</v>
      </c>
      <c r="C29">
        <v>8.2097658393791892E-2</v>
      </c>
      <c r="D29">
        <v>-7.1525916101383827E-2</v>
      </c>
      <c r="E29">
        <v>3.837011600364129</v>
      </c>
      <c r="F29">
        <v>3.7267391206584368</v>
      </c>
      <c r="G29" s="1">
        <f t="shared" si="0"/>
        <v>3.7818753605112829</v>
      </c>
      <c r="H29" s="1">
        <f t="shared" si="1"/>
        <v>8.8874070972015158</v>
      </c>
      <c r="I29">
        <v>0</v>
      </c>
      <c r="J29">
        <v>0.99471374611192565</v>
      </c>
      <c r="U29" s="8"/>
      <c r="V29" s="8"/>
      <c r="W29" s="8"/>
      <c r="X29" s="8"/>
      <c r="Y29" s="8"/>
      <c r="Z29" s="8"/>
      <c r="AA29" s="8"/>
      <c r="AB29" s="8"/>
    </row>
    <row r="30" spans="1:28" x14ac:dyDescent="0.25">
      <c r="A30">
        <v>190</v>
      </c>
      <c r="B30">
        <v>1</v>
      </c>
      <c r="C30">
        <v>-6.5039432963254859E-2</v>
      </c>
      <c r="D30">
        <v>0.15513914798519349</v>
      </c>
      <c r="E30">
        <v>3.8429624575434902</v>
      </c>
      <c r="F30">
        <v>3.710756041988275</v>
      </c>
      <c r="G30" s="1">
        <f t="shared" si="0"/>
        <v>3.7768592497658826</v>
      </c>
      <c r="H30" s="1">
        <f t="shared" si="1"/>
        <v>8.8756192369498237</v>
      </c>
      <c r="I30">
        <v>0</v>
      </c>
      <c r="J30">
        <v>0.99497335664104181</v>
      </c>
      <c r="U30" s="8"/>
      <c r="V30" s="8"/>
      <c r="W30" s="8"/>
      <c r="X30" s="8"/>
      <c r="Y30" s="8"/>
      <c r="Z30" s="8"/>
      <c r="AA30" s="8"/>
      <c r="AB30" s="8"/>
    </row>
    <row r="31" spans="1:28" x14ac:dyDescent="0.25">
      <c r="A31">
        <v>195</v>
      </c>
      <c r="B31">
        <v>1</v>
      </c>
      <c r="C31">
        <v>-0.1130010768912338</v>
      </c>
      <c r="D31">
        <v>-5.9584476752125998E-2</v>
      </c>
      <c r="E31">
        <v>3.8050231244374451</v>
      </c>
      <c r="F31">
        <v>3.6571110780511442</v>
      </c>
      <c r="G31" s="1">
        <f t="shared" si="0"/>
        <v>3.7310671012442946</v>
      </c>
      <c r="H31" s="1">
        <f t="shared" si="1"/>
        <v>8.7680076879240936</v>
      </c>
      <c r="I31">
        <v>0</v>
      </c>
      <c r="J31">
        <v>0.98539589779711811</v>
      </c>
      <c r="U31" s="8"/>
      <c r="V31" s="8"/>
      <c r="W31" s="8"/>
      <c r="X31" s="8"/>
      <c r="Y31" s="8"/>
      <c r="Z31" s="8"/>
      <c r="AA31" s="8"/>
      <c r="AB31" s="8"/>
    </row>
    <row r="32" spans="1:28" x14ac:dyDescent="0.25">
      <c r="A32">
        <v>200</v>
      </c>
      <c r="B32">
        <v>1</v>
      </c>
      <c r="C32">
        <v>-0.1016820477239303</v>
      </c>
      <c r="D32">
        <v>1.290659675614445E-2</v>
      </c>
      <c r="E32">
        <v>3.8284446687844671</v>
      </c>
      <c r="F32">
        <v>3.6381847240491219</v>
      </c>
      <c r="G32" s="1">
        <f t="shared" si="0"/>
        <v>3.7333146964167945</v>
      </c>
      <c r="H32" s="1">
        <f t="shared" si="1"/>
        <v>8.7732895365794672</v>
      </c>
      <c r="I32">
        <v>0</v>
      </c>
      <c r="J32">
        <v>0.99187162576365384</v>
      </c>
      <c r="U32" s="8"/>
      <c r="V32" s="8"/>
      <c r="W32" s="8"/>
      <c r="X32" s="8"/>
      <c r="Y32" s="8"/>
      <c r="Z32" s="8"/>
      <c r="AA32" s="8"/>
      <c r="AB32" s="8"/>
    </row>
    <row r="33" spans="1:28" x14ac:dyDescent="0.25">
      <c r="A33">
        <v>205</v>
      </c>
      <c r="B33">
        <v>1</v>
      </c>
      <c r="C33">
        <v>-0.1157950577175853</v>
      </c>
      <c r="D33">
        <v>-2.2566439902935841E-2</v>
      </c>
      <c r="E33">
        <v>3.800278646302838</v>
      </c>
      <c r="F33">
        <v>3.583895635318203</v>
      </c>
      <c r="G33" s="1">
        <f t="shared" si="0"/>
        <v>3.6920871408105205</v>
      </c>
      <c r="H33" s="1">
        <f t="shared" si="1"/>
        <v>8.6764047809047238</v>
      </c>
      <c r="I33">
        <v>0</v>
      </c>
      <c r="J33">
        <v>0.98585245495591345</v>
      </c>
      <c r="U33" s="8"/>
      <c r="V33" s="8"/>
      <c r="W33" s="8"/>
      <c r="X33" s="8"/>
      <c r="Y33" s="8"/>
      <c r="Z33" s="8"/>
      <c r="AA33" s="8"/>
      <c r="AB33" s="8"/>
    </row>
    <row r="34" spans="1:28" x14ac:dyDescent="0.25">
      <c r="A34">
        <v>210</v>
      </c>
      <c r="B34">
        <v>1</v>
      </c>
      <c r="C34">
        <v>-7.3781191789129633E-2</v>
      </c>
      <c r="D34">
        <v>0.14676509460147491</v>
      </c>
      <c r="E34">
        <v>3.7482700344132081</v>
      </c>
      <c r="F34">
        <v>3.49453843670765</v>
      </c>
      <c r="G34" s="1">
        <f t="shared" si="0"/>
        <v>3.621404235560429</v>
      </c>
      <c r="H34" s="1">
        <f t="shared" si="1"/>
        <v>8.5102999535670083</v>
      </c>
      <c r="I34">
        <v>0</v>
      </c>
      <c r="J34">
        <v>0.95906794027825915</v>
      </c>
      <c r="U34" s="8"/>
      <c r="V34" s="8"/>
      <c r="W34" s="8"/>
      <c r="X34" s="8"/>
      <c r="Y34" s="8"/>
      <c r="Z34" s="8"/>
      <c r="AA34" s="8"/>
      <c r="AB34" s="8"/>
    </row>
    <row r="35" spans="1:28" x14ac:dyDescent="0.25">
      <c r="A35">
        <v>215</v>
      </c>
      <c r="B35">
        <v>1</v>
      </c>
      <c r="C35">
        <v>-0.12063916719273531</v>
      </c>
      <c r="D35">
        <v>3.2528201027794197E-2</v>
      </c>
      <c r="E35">
        <v>3.6865574483113459</v>
      </c>
      <c r="F35">
        <v>3.4050056205845372</v>
      </c>
      <c r="G35" s="1">
        <f t="shared" si="0"/>
        <v>3.5457815344479418</v>
      </c>
      <c r="H35" s="1">
        <f t="shared" si="1"/>
        <v>8.3325866059526632</v>
      </c>
      <c r="I35">
        <v>0</v>
      </c>
      <c r="J35">
        <v>0.89969659780250166</v>
      </c>
      <c r="U35" s="8"/>
      <c r="V35" s="8"/>
      <c r="W35" s="8"/>
      <c r="X35" s="8"/>
      <c r="Y35" s="8"/>
      <c r="Z35" s="8"/>
      <c r="AA35" s="8"/>
      <c r="AB35" s="8"/>
    </row>
    <row r="36" spans="1:28" x14ac:dyDescent="0.25">
      <c r="A36">
        <v>220</v>
      </c>
      <c r="B36">
        <v>0.98330351664679616</v>
      </c>
      <c r="C36">
        <v>3.2323448671434628E-2</v>
      </c>
      <c r="D36">
        <v>2.5001574122971852E-4</v>
      </c>
      <c r="E36">
        <v>3.66618358885622</v>
      </c>
      <c r="F36">
        <v>3.3718293253551841</v>
      </c>
      <c r="G36" s="1">
        <f t="shared" si="0"/>
        <v>3.5190064571057018</v>
      </c>
      <c r="H36" s="1">
        <f t="shared" si="1"/>
        <v>8.2696651741983995</v>
      </c>
      <c r="I36">
        <v>0</v>
      </c>
      <c r="J36">
        <v>0.92888146505036973</v>
      </c>
      <c r="U36" s="8"/>
      <c r="V36" s="8"/>
      <c r="W36" s="8"/>
      <c r="X36" s="8"/>
      <c r="Y36" s="8"/>
      <c r="Z36" s="8"/>
      <c r="AA36" s="8"/>
      <c r="AB36" s="8"/>
    </row>
    <row r="37" spans="1:28" x14ac:dyDescent="0.25">
      <c r="A37">
        <v>225</v>
      </c>
      <c r="B37">
        <v>1</v>
      </c>
      <c r="C37">
        <v>2.6566572994044101E-2</v>
      </c>
      <c r="D37">
        <v>-4.8800868226021851E-2</v>
      </c>
      <c r="E37">
        <v>3.5465400308636661</v>
      </c>
      <c r="F37">
        <v>3.2528314638681839</v>
      </c>
      <c r="G37" s="1">
        <f t="shared" si="0"/>
        <v>3.399685747365925</v>
      </c>
      <c r="H37" s="1">
        <f t="shared" si="1"/>
        <v>7.9892615063099237</v>
      </c>
      <c r="I37">
        <v>0</v>
      </c>
      <c r="J37">
        <v>0.85596745505195682</v>
      </c>
      <c r="U37" s="8"/>
      <c r="V37" s="8"/>
      <c r="W37" s="8"/>
      <c r="X37" s="8"/>
      <c r="Y37" s="8"/>
      <c r="Z37" s="8"/>
      <c r="AA37" s="8"/>
      <c r="AB37" s="8"/>
    </row>
    <row r="38" spans="1:28" x14ac:dyDescent="0.25">
      <c r="A38">
        <v>230</v>
      </c>
      <c r="B38">
        <v>1</v>
      </c>
      <c r="C38">
        <v>6.7320552351728499E-2</v>
      </c>
      <c r="D38">
        <v>4.188362654382391E-2</v>
      </c>
      <c r="E38">
        <v>3.5027934655712869</v>
      </c>
      <c r="F38">
        <v>3.200015413798647</v>
      </c>
      <c r="G38" s="1">
        <f t="shared" si="0"/>
        <v>3.3514044396849672</v>
      </c>
      <c r="H38" s="1">
        <f t="shared" si="1"/>
        <v>7.8758004332596734</v>
      </c>
      <c r="I38">
        <v>0</v>
      </c>
      <c r="J38">
        <v>0.97616895898999012</v>
      </c>
      <c r="U38" s="8"/>
      <c r="V38" s="8"/>
      <c r="W38" s="8"/>
      <c r="X38" s="8"/>
      <c r="Y38" s="8"/>
      <c r="Z38" s="8"/>
      <c r="AA38" s="8"/>
      <c r="AB38" s="8"/>
    </row>
    <row r="39" spans="1:28" x14ac:dyDescent="0.25">
      <c r="A39">
        <v>235</v>
      </c>
      <c r="B39">
        <v>0.99462605562781525</v>
      </c>
      <c r="C39">
        <v>8.3364228708876192E-2</v>
      </c>
      <c r="D39">
        <v>0.1102734999699856</v>
      </c>
      <c r="E39">
        <v>3.4096087612340331</v>
      </c>
      <c r="F39">
        <v>3.0893439734655841</v>
      </c>
      <c r="G39" s="1">
        <f t="shared" si="0"/>
        <v>3.2494763673498088</v>
      </c>
      <c r="H39" s="1">
        <f t="shared" si="1"/>
        <v>7.6362694632720514</v>
      </c>
      <c r="I39">
        <v>0</v>
      </c>
      <c r="J39">
        <v>0.98285555227834487</v>
      </c>
      <c r="U39" s="8"/>
      <c r="V39" s="8"/>
      <c r="W39" s="8"/>
      <c r="X39" s="8"/>
      <c r="Y39" s="8"/>
      <c r="Z39" s="8"/>
      <c r="AA39" s="8"/>
      <c r="AB39" s="8"/>
    </row>
    <row r="40" spans="1:28" x14ac:dyDescent="0.25">
      <c r="A40">
        <v>240</v>
      </c>
      <c r="B40">
        <v>1</v>
      </c>
      <c r="C40">
        <v>0.15353628468021641</v>
      </c>
      <c r="D40">
        <v>-3.76154737689273E-2</v>
      </c>
      <c r="E40">
        <v>3.2688677112009041</v>
      </c>
      <c r="F40">
        <v>2.932880823918484</v>
      </c>
      <c r="G40" s="1">
        <f t="shared" si="0"/>
        <v>3.1008742675596941</v>
      </c>
      <c r="H40" s="1">
        <f t="shared" si="1"/>
        <v>7.2870545287652817</v>
      </c>
      <c r="I40">
        <v>0</v>
      </c>
      <c r="J40">
        <v>0.98662328549813105</v>
      </c>
      <c r="U40" s="8"/>
      <c r="V40" s="8"/>
      <c r="W40" s="8"/>
      <c r="X40" s="8"/>
      <c r="Y40" s="8"/>
      <c r="Z40" s="8"/>
      <c r="AA40" s="8"/>
      <c r="AB40" s="8"/>
    </row>
    <row r="41" spans="1:28" x14ac:dyDescent="0.25">
      <c r="A41">
        <v>245</v>
      </c>
      <c r="B41">
        <v>1</v>
      </c>
      <c r="C41">
        <v>-8.9173515225371147E-2</v>
      </c>
      <c r="D41">
        <v>8.2425010619005798E-2</v>
      </c>
      <c r="E41">
        <v>3.1059226953816998</v>
      </c>
      <c r="F41">
        <v>2.7229644568722988</v>
      </c>
      <c r="G41" s="1">
        <f t="shared" si="0"/>
        <v>2.9144435761269993</v>
      </c>
      <c r="H41" s="1">
        <f t="shared" si="1"/>
        <v>6.848942403898449</v>
      </c>
      <c r="I41">
        <v>0</v>
      </c>
      <c r="J41">
        <v>0.99376676439629519</v>
      </c>
      <c r="U41" s="8"/>
      <c r="V41" s="8"/>
      <c r="W41" s="8"/>
      <c r="X41" s="8"/>
      <c r="Y41" s="8"/>
      <c r="Z41" s="8"/>
      <c r="AA41" s="8"/>
      <c r="AB41" s="8"/>
    </row>
  </sheetData>
  <mergeCells count="1">
    <mergeCell ref="B4:J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3A9E-E6F6-42A0-A3B1-22F093A1C4CA}">
  <dimension ref="A1:AB41"/>
  <sheetViews>
    <sheetView workbookViewId="0">
      <selection activeCell="A2" sqref="A2"/>
    </sheetView>
  </sheetViews>
  <sheetFormatPr defaultRowHeight="15" x14ac:dyDescent="0.25"/>
  <cols>
    <col min="7" max="8" width="11.7109375" customWidth="1"/>
    <col min="21" max="22" width="12.5703125" bestFit="1" customWidth="1"/>
    <col min="23" max="23" width="13.85546875" bestFit="1" customWidth="1"/>
    <col min="24" max="28" width="12.5703125" bestFit="1" customWidth="1"/>
  </cols>
  <sheetData>
    <row r="1" spans="1:28" x14ac:dyDescent="0.25">
      <c r="A1" t="s">
        <v>46</v>
      </c>
    </row>
    <row r="2" spans="1:28" x14ac:dyDescent="0.25">
      <c r="A2" t="s">
        <v>47</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row>
    <row r="6" spans="1:28" x14ac:dyDescent="0.25">
      <c r="A6">
        <v>70</v>
      </c>
      <c r="B6">
        <v>1</v>
      </c>
      <c r="C6">
        <v>-1.506051509741776E-2</v>
      </c>
      <c r="D6">
        <v>-3.028113855519423E-2</v>
      </c>
      <c r="E6">
        <v>6.2561206106605454</v>
      </c>
      <c r="F6">
        <v>6.0093630757463119</v>
      </c>
      <c r="G6" s="1">
        <f>AVERAGE(E6:F6)</f>
        <v>6.1327418432034282</v>
      </c>
      <c r="H6" s="1">
        <f>2.35*G6</f>
        <v>14.411943331528057</v>
      </c>
      <c r="I6">
        <v>0</v>
      </c>
      <c r="J6">
        <v>0.98179051631786551</v>
      </c>
      <c r="U6" s="7"/>
      <c r="V6" s="7"/>
      <c r="W6" s="7"/>
      <c r="X6" s="7"/>
      <c r="Y6" s="7"/>
      <c r="Z6" s="7"/>
      <c r="AA6" s="7"/>
      <c r="AB6" s="7"/>
    </row>
    <row r="7" spans="1:28" x14ac:dyDescent="0.25">
      <c r="A7">
        <v>75</v>
      </c>
      <c r="B7">
        <v>1</v>
      </c>
      <c r="C7">
        <v>-2.4351614160219741E-2</v>
      </c>
      <c r="D7">
        <v>8.034170411848178E-2</v>
      </c>
      <c r="E7">
        <v>5.9056819575630808</v>
      </c>
      <c r="F7">
        <v>5.7754567565603452</v>
      </c>
      <c r="G7" s="1">
        <f t="shared" ref="G7:G41" si="0">AVERAGE(E7:F7)</f>
        <v>5.840569357061713</v>
      </c>
      <c r="H7" s="1">
        <f t="shared" ref="H7:H41" si="1">2.35*G7</f>
        <v>13.725337989095026</v>
      </c>
      <c r="I7">
        <v>0</v>
      </c>
      <c r="J7">
        <v>0.98342407847496816</v>
      </c>
      <c r="U7" s="7"/>
      <c r="V7" s="7"/>
      <c r="W7" s="7"/>
      <c r="X7" s="7"/>
      <c r="Y7" s="7"/>
      <c r="Z7" s="7"/>
      <c r="AA7" s="7"/>
      <c r="AB7" s="7"/>
    </row>
    <row r="8" spans="1:28" x14ac:dyDescent="0.25">
      <c r="A8">
        <v>80</v>
      </c>
      <c r="B8">
        <v>1</v>
      </c>
      <c r="C8">
        <v>7.4264633794401125E-2</v>
      </c>
      <c r="D8">
        <v>-0.1236065489730654</v>
      </c>
      <c r="E8">
        <v>5.5838745441961208</v>
      </c>
      <c r="F8">
        <v>5.5449824259066069</v>
      </c>
      <c r="G8" s="1">
        <f t="shared" si="0"/>
        <v>5.5644284850513639</v>
      </c>
      <c r="H8" s="1">
        <f t="shared" si="1"/>
        <v>13.076406939870706</v>
      </c>
      <c r="I8">
        <v>0</v>
      </c>
      <c r="J8">
        <v>0.98263255746004086</v>
      </c>
      <c r="U8" s="7"/>
      <c r="V8" s="7"/>
      <c r="W8" s="7"/>
      <c r="X8" s="7"/>
      <c r="Y8" s="7"/>
      <c r="Z8" s="7"/>
      <c r="AA8" s="7"/>
      <c r="AB8" s="7"/>
    </row>
    <row r="9" spans="1:28" x14ac:dyDescent="0.25">
      <c r="A9">
        <v>85</v>
      </c>
      <c r="B9">
        <v>1</v>
      </c>
      <c r="C9">
        <v>-0.1244067788375606</v>
      </c>
      <c r="D9">
        <v>0.1228613957549352</v>
      </c>
      <c r="E9">
        <v>5.4146946208584019</v>
      </c>
      <c r="F9">
        <v>5.3964506087195989</v>
      </c>
      <c r="G9" s="1">
        <f t="shared" si="0"/>
        <v>5.4055726147890004</v>
      </c>
      <c r="H9" s="1">
        <f t="shared" si="1"/>
        <v>12.703095644754152</v>
      </c>
      <c r="I9">
        <v>0</v>
      </c>
      <c r="J9">
        <v>0.98529303163552295</v>
      </c>
      <c r="U9" s="7"/>
      <c r="V9" s="7"/>
      <c r="W9" s="7"/>
      <c r="X9" s="7"/>
      <c r="Y9" s="7"/>
      <c r="Z9" s="7"/>
      <c r="AA9" s="7"/>
      <c r="AB9" s="7"/>
    </row>
    <row r="10" spans="1:28" x14ac:dyDescent="0.25">
      <c r="A10">
        <v>90</v>
      </c>
      <c r="B10">
        <v>1</v>
      </c>
      <c r="C10">
        <v>-1.1392216262301681E-2</v>
      </c>
      <c r="D10">
        <v>9.8762036937159181E-2</v>
      </c>
      <c r="E10">
        <v>5.2572794408016161</v>
      </c>
      <c r="F10">
        <v>5.2149228067678646</v>
      </c>
      <c r="G10" s="1">
        <f t="shared" si="0"/>
        <v>5.2361011237847404</v>
      </c>
      <c r="H10" s="1">
        <f t="shared" si="1"/>
        <v>12.30483764089414</v>
      </c>
      <c r="I10">
        <v>0</v>
      </c>
      <c r="J10">
        <v>0.98789003096865391</v>
      </c>
      <c r="U10" s="7"/>
      <c r="V10" s="7"/>
      <c r="W10" s="7"/>
      <c r="X10" s="7"/>
      <c r="Y10" s="7"/>
      <c r="Z10" s="7"/>
      <c r="AA10" s="7"/>
      <c r="AB10" s="7"/>
    </row>
    <row r="11" spans="1:28" x14ac:dyDescent="0.25">
      <c r="A11">
        <v>95</v>
      </c>
      <c r="B11">
        <v>1</v>
      </c>
      <c r="C11">
        <v>-5.2037836686724903E-2</v>
      </c>
      <c r="D11">
        <v>-5.7649151701377549E-2</v>
      </c>
      <c r="E11">
        <v>5.0821355762527602</v>
      </c>
      <c r="F11">
        <v>4.9975506770987064</v>
      </c>
      <c r="G11" s="1">
        <f t="shared" si="0"/>
        <v>5.0398431266757333</v>
      </c>
      <c r="H11" s="1">
        <f t="shared" si="1"/>
        <v>11.843631347687973</v>
      </c>
      <c r="I11">
        <v>0</v>
      </c>
      <c r="J11">
        <v>0.98783934238921123</v>
      </c>
      <c r="U11" s="7"/>
      <c r="V11" s="7"/>
      <c r="W11" s="7"/>
      <c r="X11" s="7"/>
      <c r="Y11" s="7"/>
      <c r="Z11" s="7"/>
      <c r="AA11" s="7"/>
      <c r="AB11" s="7"/>
    </row>
    <row r="12" spans="1:28" x14ac:dyDescent="0.25">
      <c r="A12">
        <v>100</v>
      </c>
      <c r="B12">
        <v>1</v>
      </c>
      <c r="C12">
        <v>-4.1597864838976283E-2</v>
      </c>
      <c r="D12">
        <v>-6.8949931510084481E-2</v>
      </c>
      <c r="E12">
        <v>4.9849630421159308</v>
      </c>
      <c r="F12">
        <v>4.847855639986923</v>
      </c>
      <c r="G12" s="1">
        <f t="shared" si="0"/>
        <v>4.9164093410514269</v>
      </c>
      <c r="H12" s="1">
        <f t="shared" si="1"/>
        <v>11.553561951470854</v>
      </c>
      <c r="I12">
        <v>0</v>
      </c>
      <c r="J12">
        <v>0.70000000000000007</v>
      </c>
      <c r="U12" s="7"/>
      <c r="V12" s="7"/>
      <c r="W12" s="7"/>
      <c r="X12" s="7"/>
      <c r="Y12" s="7"/>
      <c r="Z12" s="7"/>
      <c r="AA12" s="7"/>
      <c r="AB12" s="7"/>
    </row>
    <row r="13" spans="1:28" x14ac:dyDescent="0.25">
      <c r="A13">
        <v>105</v>
      </c>
      <c r="B13">
        <v>1</v>
      </c>
      <c r="C13">
        <v>1.042957023496164E-3</v>
      </c>
      <c r="D13">
        <v>3.1035297396544259E-2</v>
      </c>
      <c r="E13">
        <v>4.8690477667238836</v>
      </c>
      <c r="F13">
        <v>4.6940923761496833</v>
      </c>
      <c r="G13" s="1">
        <f t="shared" si="0"/>
        <v>4.7815700714367839</v>
      </c>
      <c r="H13" s="1">
        <f t="shared" si="1"/>
        <v>11.236689667876442</v>
      </c>
      <c r="I13">
        <v>0</v>
      </c>
      <c r="J13">
        <v>0.98987329573412319</v>
      </c>
      <c r="U13" s="7"/>
      <c r="V13" s="7"/>
      <c r="W13" s="7"/>
      <c r="X13" s="7"/>
      <c r="Y13" s="7"/>
      <c r="Z13" s="7"/>
      <c r="AA13" s="7"/>
      <c r="AB13" s="7"/>
    </row>
    <row r="14" spans="1:28" x14ac:dyDescent="0.25">
      <c r="A14">
        <v>110</v>
      </c>
      <c r="B14">
        <v>1</v>
      </c>
      <c r="C14">
        <v>-0.21177505379612371</v>
      </c>
      <c r="D14">
        <v>-0.12063147834017041</v>
      </c>
      <c r="E14">
        <v>4.7689271700734421</v>
      </c>
      <c r="F14">
        <v>4.5566180313985436</v>
      </c>
      <c r="G14" s="1">
        <f t="shared" si="0"/>
        <v>4.6627726007359929</v>
      </c>
      <c r="H14" s="1">
        <f t="shared" si="1"/>
        <v>10.957515611729583</v>
      </c>
      <c r="I14">
        <v>0</v>
      </c>
      <c r="J14">
        <v>0.99098218333500221</v>
      </c>
      <c r="U14" s="7"/>
      <c r="V14" s="7"/>
      <c r="W14" s="7"/>
      <c r="X14" s="7"/>
      <c r="Y14" s="7"/>
      <c r="Z14" s="7"/>
      <c r="AA14" s="7"/>
      <c r="AB14" s="7"/>
    </row>
    <row r="15" spans="1:28" x14ac:dyDescent="0.25">
      <c r="A15">
        <v>115</v>
      </c>
      <c r="B15">
        <v>0.99999999966193842</v>
      </c>
      <c r="C15">
        <v>-0.1237650212788825</v>
      </c>
      <c r="D15">
        <v>0.1147868630596907</v>
      </c>
      <c r="E15">
        <v>4.6757281352931246</v>
      </c>
      <c r="F15">
        <v>4.4321131146786854</v>
      </c>
      <c r="G15" s="1">
        <f t="shared" si="0"/>
        <v>4.5539206249859046</v>
      </c>
      <c r="H15" s="1">
        <f t="shared" si="1"/>
        <v>10.701713468716877</v>
      </c>
      <c r="I15">
        <v>0</v>
      </c>
      <c r="J15">
        <v>0.99144165474694201</v>
      </c>
      <c r="U15" s="7"/>
      <c r="V15" s="7"/>
      <c r="W15" s="7"/>
      <c r="X15" s="7"/>
      <c r="Y15" s="7"/>
      <c r="Z15" s="7"/>
      <c r="AA15" s="7"/>
      <c r="AB15" s="7"/>
    </row>
    <row r="16" spans="1:28" x14ac:dyDescent="0.25">
      <c r="A16">
        <v>120</v>
      </c>
      <c r="B16">
        <v>1</v>
      </c>
      <c r="C16">
        <v>-0.23707034935568291</v>
      </c>
      <c r="D16">
        <v>-0.1161509380296115</v>
      </c>
      <c r="E16">
        <v>4.5587064036268741</v>
      </c>
      <c r="F16">
        <v>4.2865378250350572</v>
      </c>
      <c r="G16" s="1">
        <f t="shared" si="0"/>
        <v>4.4226221143309656</v>
      </c>
      <c r="H16" s="1">
        <f t="shared" si="1"/>
        <v>10.39316196867777</v>
      </c>
      <c r="I16">
        <v>0</v>
      </c>
      <c r="J16">
        <v>0.99117529427626783</v>
      </c>
      <c r="U16" s="7"/>
      <c r="V16" s="7"/>
      <c r="W16" s="7"/>
      <c r="X16" s="7"/>
      <c r="Y16" s="7"/>
      <c r="Z16" s="7"/>
      <c r="AA16" s="7"/>
      <c r="AB16" s="7"/>
    </row>
    <row r="17" spans="1:28" x14ac:dyDescent="0.25">
      <c r="A17">
        <v>125</v>
      </c>
      <c r="B17">
        <v>1</v>
      </c>
      <c r="C17">
        <v>-0.18474084706514179</v>
      </c>
      <c r="D17">
        <v>-6.6164506288406227E-2</v>
      </c>
      <c r="E17">
        <v>4.5344187057746437</v>
      </c>
      <c r="F17">
        <v>4.2557545151831349</v>
      </c>
      <c r="G17" s="1">
        <f t="shared" si="0"/>
        <v>4.3950866104788897</v>
      </c>
      <c r="H17" s="1">
        <f t="shared" si="1"/>
        <v>10.328453534625391</v>
      </c>
      <c r="I17">
        <v>0</v>
      </c>
      <c r="J17">
        <v>0.99425778425226297</v>
      </c>
      <c r="U17" s="7"/>
      <c r="V17" s="7"/>
      <c r="W17" s="7"/>
      <c r="X17" s="7"/>
      <c r="Y17" s="7"/>
      <c r="Z17" s="7"/>
      <c r="AA17" s="7"/>
      <c r="AB17" s="7"/>
    </row>
    <row r="18" spans="1:28" x14ac:dyDescent="0.25">
      <c r="A18">
        <v>130</v>
      </c>
      <c r="B18">
        <v>1</v>
      </c>
      <c r="C18">
        <v>-0.17192346439983719</v>
      </c>
      <c r="D18">
        <v>-0.13002914914189789</v>
      </c>
      <c r="E18">
        <v>4.4204201002811336</v>
      </c>
      <c r="F18">
        <v>4.1425214978671097</v>
      </c>
      <c r="G18" s="1">
        <f t="shared" si="0"/>
        <v>4.2814707990741212</v>
      </c>
      <c r="H18" s="1">
        <f t="shared" si="1"/>
        <v>10.061456377824186</v>
      </c>
      <c r="I18">
        <v>0</v>
      </c>
      <c r="J18">
        <v>0.99287663885157273</v>
      </c>
      <c r="U18" s="7"/>
      <c r="V18" s="7"/>
      <c r="W18" s="7"/>
      <c r="X18" s="7"/>
      <c r="Y18" s="7"/>
      <c r="Z18" s="7"/>
      <c r="AA18" s="7"/>
      <c r="AB18" s="7"/>
    </row>
    <row r="19" spans="1:28" x14ac:dyDescent="0.25">
      <c r="A19">
        <v>135</v>
      </c>
      <c r="B19">
        <v>1</v>
      </c>
      <c r="C19">
        <v>3.635723130987354E-2</v>
      </c>
      <c r="D19">
        <v>8.7422885006668755E-2</v>
      </c>
      <c r="E19">
        <v>4.3510326682465683</v>
      </c>
      <c r="F19">
        <v>4.0822387054647402</v>
      </c>
      <c r="G19" s="1">
        <f t="shared" si="0"/>
        <v>4.2166356868556543</v>
      </c>
      <c r="H19" s="1">
        <f t="shared" si="1"/>
        <v>9.9090938641107886</v>
      </c>
      <c r="I19">
        <v>0</v>
      </c>
      <c r="J19">
        <v>0.99400222982324415</v>
      </c>
      <c r="U19" s="7"/>
      <c r="V19" s="7"/>
      <c r="W19" s="7"/>
      <c r="X19" s="7"/>
      <c r="Y19" s="7"/>
      <c r="Z19" s="7"/>
      <c r="AA19" s="7"/>
      <c r="AB19" s="7"/>
    </row>
    <row r="20" spans="1:28" x14ac:dyDescent="0.25">
      <c r="A20">
        <v>140</v>
      </c>
      <c r="B20">
        <v>1</v>
      </c>
      <c r="C20">
        <v>-0.25777537801584988</v>
      </c>
      <c r="D20">
        <v>-6.5416879647376081E-2</v>
      </c>
      <c r="E20">
        <v>4.2948842824175406</v>
      </c>
      <c r="F20">
        <v>4.0408956485959289</v>
      </c>
      <c r="G20" s="1">
        <f t="shared" si="0"/>
        <v>4.1678899655067347</v>
      </c>
      <c r="H20" s="1">
        <f t="shared" si="1"/>
        <v>9.7945414189408275</v>
      </c>
      <c r="I20">
        <v>0</v>
      </c>
      <c r="J20">
        <v>0.9953551034262369</v>
      </c>
      <c r="U20" s="7"/>
      <c r="V20" s="7"/>
      <c r="W20" s="7"/>
      <c r="X20" s="7"/>
      <c r="Y20" s="7"/>
      <c r="Z20" s="7"/>
      <c r="AA20" s="7"/>
      <c r="AB20" s="7"/>
    </row>
    <row r="21" spans="1:28" x14ac:dyDescent="0.25">
      <c r="A21">
        <v>145</v>
      </c>
      <c r="B21">
        <v>0.99999999999995004</v>
      </c>
      <c r="C21">
        <v>-0.13023076032009129</v>
      </c>
      <c r="D21">
        <v>-5.7418305681116479E-2</v>
      </c>
      <c r="E21">
        <v>4.2311010880817452</v>
      </c>
      <c r="F21">
        <v>3.9963581677290509</v>
      </c>
      <c r="G21" s="1">
        <f t="shared" si="0"/>
        <v>4.1137296279053981</v>
      </c>
      <c r="H21" s="1">
        <f t="shared" si="1"/>
        <v>9.6672646255776851</v>
      </c>
      <c r="I21">
        <v>0</v>
      </c>
      <c r="J21">
        <v>0.99594005328077995</v>
      </c>
      <c r="U21" s="7"/>
      <c r="V21" s="7"/>
      <c r="W21" s="7"/>
      <c r="X21" s="7"/>
      <c r="Y21" s="7"/>
      <c r="Z21" s="7"/>
      <c r="AA21" s="7"/>
      <c r="AB21" s="7"/>
    </row>
    <row r="22" spans="1:28" x14ac:dyDescent="0.25">
      <c r="A22">
        <v>150</v>
      </c>
      <c r="B22">
        <v>0.99999993459906955</v>
      </c>
      <c r="C22">
        <v>-2.5669283759950819E-2</v>
      </c>
      <c r="D22">
        <v>-1.6670172424081111E-2</v>
      </c>
      <c r="E22">
        <v>4.1337429073929304</v>
      </c>
      <c r="F22">
        <v>3.930854597120863</v>
      </c>
      <c r="G22" s="1">
        <f t="shared" si="0"/>
        <v>4.0322987522568967</v>
      </c>
      <c r="H22" s="1">
        <f t="shared" si="1"/>
        <v>9.4759020678037071</v>
      </c>
      <c r="I22">
        <v>0</v>
      </c>
      <c r="J22">
        <v>0.99574372526357979</v>
      </c>
      <c r="U22" s="7"/>
      <c r="V22" s="7"/>
      <c r="W22" s="7"/>
      <c r="X22" s="7"/>
      <c r="Y22" s="7"/>
      <c r="Z22" s="7"/>
      <c r="AA22" s="7"/>
      <c r="AB22" s="7"/>
    </row>
    <row r="23" spans="1:28" x14ac:dyDescent="0.25">
      <c r="A23">
        <v>155</v>
      </c>
      <c r="B23">
        <v>1</v>
      </c>
      <c r="C23">
        <v>-0.1177502690745876</v>
      </c>
      <c r="D23">
        <v>7.1134985319318514E-2</v>
      </c>
      <c r="E23">
        <v>4.0696104803757933</v>
      </c>
      <c r="F23">
        <v>3.8929950925523649</v>
      </c>
      <c r="G23" s="1">
        <f t="shared" si="0"/>
        <v>3.9813027864640791</v>
      </c>
      <c r="H23" s="1">
        <f t="shared" si="1"/>
        <v>9.3560615481905867</v>
      </c>
      <c r="I23">
        <v>0</v>
      </c>
      <c r="J23">
        <v>0.99602047866604926</v>
      </c>
      <c r="U23" s="7"/>
      <c r="V23" s="7"/>
      <c r="W23" s="7"/>
      <c r="X23" s="7"/>
      <c r="Y23" s="7"/>
      <c r="Z23" s="7"/>
      <c r="AA23" s="7"/>
      <c r="AB23" s="7"/>
    </row>
    <row r="24" spans="1:28" x14ac:dyDescent="0.25">
      <c r="A24">
        <v>160</v>
      </c>
      <c r="B24">
        <v>1</v>
      </c>
      <c r="C24">
        <v>-1.7536445106528891E-3</v>
      </c>
      <c r="D24">
        <v>0.16279167108189571</v>
      </c>
      <c r="E24">
        <v>4.0029648684104444</v>
      </c>
      <c r="F24">
        <v>3.8637821799982408</v>
      </c>
      <c r="G24" s="1">
        <f t="shared" si="0"/>
        <v>3.9333735242043426</v>
      </c>
      <c r="H24" s="1">
        <f t="shared" si="1"/>
        <v>9.2434277818802055</v>
      </c>
      <c r="I24">
        <v>0</v>
      </c>
      <c r="J24">
        <v>0.99623808753773402</v>
      </c>
      <c r="U24" s="7"/>
      <c r="V24" s="7"/>
      <c r="W24" s="7"/>
      <c r="X24" s="7"/>
      <c r="Y24" s="7"/>
      <c r="Z24" s="7"/>
      <c r="AA24" s="7"/>
      <c r="AB24" s="7"/>
    </row>
    <row r="25" spans="1:28" x14ac:dyDescent="0.25">
      <c r="A25">
        <v>165</v>
      </c>
      <c r="B25">
        <v>1</v>
      </c>
      <c r="C25">
        <v>-0.23618912162479799</v>
      </c>
      <c r="D25">
        <v>8.3785390736273807E-2</v>
      </c>
      <c r="E25">
        <v>3.95985435476556</v>
      </c>
      <c r="F25">
        <v>3.8490624114236809</v>
      </c>
      <c r="G25" s="1">
        <f t="shared" si="0"/>
        <v>3.9044583830946205</v>
      </c>
      <c r="H25" s="1">
        <f t="shared" si="1"/>
        <v>9.1754772002723577</v>
      </c>
      <c r="I25">
        <v>0</v>
      </c>
      <c r="J25">
        <v>0.99649613137975668</v>
      </c>
      <c r="U25" s="7"/>
      <c r="V25" s="7"/>
      <c r="W25" s="7"/>
      <c r="X25" s="7"/>
      <c r="Y25" s="7"/>
      <c r="Z25" s="7"/>
      <c r="AA25" s="7"/>
      <c r="AB25" s="7"/>
    </row>
    <row r="26" spans="1:28" x14ac:dyDescent="0.25">
      <c r="A26">
        <v>170</v>
      </c>
      <c r="B26">
        <v>1</v>
      </c>
      <c r="C26">
        <v>-0.2226837954168745</v>
      </c>
      <c r="D26">
        <v>0.12642407779331269</v>
      </c>
      <c r="E26">
        <v>3.88013051444497</v>
      </c>
      <c r="F26">
        <v>3.8029702679433748</v>
      </c>
      <c r="G26" s="1">
        <f t="shared" si="0"/>
        <v>3.8415503911941724</v>
      </c>
      <c r="H26" s="1">
        <f t="shared" si="1"/>
        <v>9.0276434193063047</v>
      </c>
      <c r="I26">
        <v>0</v>
      </c>
      <c r="J26">
        <v>0.996444579193285</v>
      </c>
      <c r="U26" s="7"/>
      <c r="V26" s="7"/>
      <c r="W26" s="7"/>
      <c r="X26" s="7"/>
      <c r="Y26" s="7"/>
      <c r="Z26" s="7"/>
      <c r="AA26" s="7"/>
      <c r="AB26" s="7"/>
    </row>
    <row r="27" spans="1:28" x14ac:dyDescent="0.25">
      <c r="A27">
        <v>175</v>
      </c>
      <c r="B27">
        <v>1</v>
      </c>
      <c r="C27">
        <v>-3.0731716507557759E-2</v>
      </c>
      <c r="D27">
        <v>8.1850480398365275E-2</v>
      </c>
      <c r="E27">
        <v>3.8576683227408739</v>
      </c>
      <c r="F27">
        <v>3.7938896450764021</v>
      </c>
      <c r="G27" s="1">
        <f t="shared" si="0"/>
        <v>3.8257789839086378</v>
      </c>
      <c r="H27" s="1">
        <f t="shared" si="1"/>
        <v>8.9905806121852994</v>
      </c>
      <c r="I27">
        <v>0</v>
      </c>
      <c r="J27">
        <v>0.99689923167425187</v>
      </c>
      <c r="U27" s="7"/>
      <c r="V27" s="7"/>
      <c r="W27" s="7"/>
      <c r="X27" s="7"/>
      <c r="Y27" s="7"/>
      <c r="Z27" s="7"/>
      <c r="AA27" s="7"/>
      <c r="AB27" s="7"/>
    </row>
    <row r="28" spans="1:28" x14ac:dyDescent="0.25">
      <c r="A28">
        <v>180</v>
      </c>
      <c r="B28">
        <v>1</v>
      </c>
      <c r="C28">
        <v>-2.2026979332933551E-2</v>
      </c>
      <c r="D28">
        <v>6.2527914194349374E-2</v>
      </c>
      <c r="E28">
        <v>3.8127384200484489</v>
      </c>
      <c r="F28">
        <v>3.7677218624288522</v>
      </c>
      <c r="G28" s="1">
        <f t="shared" si="0"/>
        <v>3.7902301412386503</v>
      </c>
      <c r="H28" s="1">
        <f t="shared" si="1"/>
        <v>8.9070408319108285</v>
      </c>
      <c r="I28">
        <v>0</v>
      </c>
      <c r="J28">
        <v>0.99704824713773188</v>
      </c>
      <c r="U28" s="7"/>
      <c r="V28" s="7"/>
      <c r="W28" s="7"/>
      <c r="X28" s="7"/>
      <c r="Y28" s="7"/>
      <c r="Z28" s="7"/>
      <c r="AA28" s="7"/>
      <c r="AB28" s="7"/>
    </row>
    <row r="29" spans="1:28" x14ac:dyDescent="0.25">
      <c r="A29">
        <v>185</v>
      </c>
      <c r="B29">
        <v>1</v>
      </c>
      <c r="C29">
        <v>3.2170391977888492E-2</v>
      </c>
      <c r="D29">
        <v>-6.0002809308403772E-2</v>
      </c>
      <c r="E29">
        <v>3.75631528067081</v>
      </c>
      <c r="F29">
        <v>3.718735076589033</v>
      </c>
      <c r="G29" s="1">
        <f t="shared" si="0"/>
        <v>3.7375251786299213</v>
      </c>
      <c r="H29" s="1">
        <f t="shared" si="1"/>
        <v>8.7831841697803146</v>
      </c>
      <c r="I29">
        <v>0</v>
      </c>
      <c r="J29">
        <v>0.99725275953487269</v>
      </c>
      <c r="U29" s="7"/>
      <c r="V29" s="7"/>
      <c r="W29" s="7"/>
      <c r="X29" s="7"/>
      <c r="Y29" s="7"/>
      <c r="Z29" s="7"/>
      <c r="AA29" s="7"/>
      <c r="AB29" s="7"/>
    </row>
    <row r="30" spans="1:28" x14ac:dyDescent="0.25">
      <c r="A30">
        <v>190</v>
      </c>
      <c r="B30">
        <v>1</v>
      </c>
      <c r="C30">
        <v>-0.17593038597257579</v>
      </c>
      <c r="D30">
        <v>-6.138239785247479E-2</v>
      </c>
      <c r="E30">
        <v>3.7303877973626118</v>
      </c>
      <c r="F30">
        <v>3.6989579748341752</v>
      </c>
      <c r="G30" s="1">
        <f t="shared" si="0"/>
        <v>3.7146728860983935</v>
      </c>
      <c r="H30" s="1">
        <f t="shared" si="1"/>
        <v>8.7294812823312249</v>
      </c>
      <c r="I30">
        <v>0</v>
      </c>
      <c r="J30">
        <v>0.99756600866658962</v>
      </c>
      <c r="U30" s="7"/>
      <c r="V30" s="7"/>
      <c r="W30" s="7"/>
      <c r="X30" s="7"/>
      <c r="Y30" s="7"/>
      <c r="Z30" s="7"/>
      <c r="AA30" s="7"/>
      <c r="AB30" s="7"/>
    </row>
    <row r="31" spans="1:28" x14ac:dyDescent="0.25">
      <c r="A31">
        <v>195</v>
      </c>
      <c r="B31">
        <v>1</v>
      </c>
      <c r="C31">
        <v>-0.1396234536137797</v>
      </c>
      <c r="D31">
        <v>-0.15354674214742731</v>
      </c>
      <c r="E31">
        <v>3.7032611054948421</v>
      </c>
      <c r="F31">
        <v>3.6741335738669192</v>
      </c>
      <c r="G31" s="1">
        <f t="shared" si="0"/>
        <v>3.6886973396808806</v>
      </c>
      <c r="H31" s="1">
        <f t="shared" si="1"/>
        <v>8.66843874825007</v>
      </c>
      <c r="I31">
        <v>0</v>
      </c>
      <c r="J31">
        <v>0.99776666804110925</v>
      </c>
      <c r="U31" s="7"/>
      <c r="V31" s="7"/>
      <c r="W31" s="7"/>
      <c r="X31" s="7"/>
      <c r="Y31" s="7"/>
      <c r="Z31" s="7"/>
      <c r="AA31" s="7"/>
      <c r="AB31" s="7"/>
    </row>
    <row r="32" spans="1:28" x14ac:dyDescent="0.25">
      <c r="A32">
        <v>200</v>
      </c>
      <c r="B32">
        <v>1</v>
      </c>
      <c r="C32">
        <v>-0.18620856060640839</v>
      </c>
      <c r="D32">
        <v>-0.14578188254478289</v>
      </c>
      <c r="E32">
        <v>3.6771456082196159</v>
      </c>
      <c r="F32">
        <v>3.64928894506465</v>
      </c>
      <c r="G32" s="1">
        <f t="shared" si="0"/>
        <v>3.6632172766421327</v>
      </c>
      <c r="H32" s="1">
        <f t="shared" si="1"/>
        <v>8.608560600109012</v>
      </c>
      <c r="I32">
        <v>0</v>
      </c>
      <c r="J32">
        <v>0.99805725472326001</v>
      </c>
      <c r="U32" s="7"/>
      <c r="V32" s="7"/>
      <c r="W32" s="7"/>
      <c r="X32" s="7"/>
      <c r="Y32" s="7"/>
      <c r="Z32" s="7"/>
      <c r="AA32" s="7"/>
      <c r="AB32" s="7"/>
    </row>
    <row r="33" spans="1:28" x14ac:dyDescent="0.25">
      <c r="A33">
        <v>205</v>
      </c>
      <c r="B33">
        <v>1</v>
      </c>
      <c r="C33">
        <v>-7.7752084552710696E-2</v>
      </c>
      <c r="D33">
        <v>-2.725532045058203E-2</v>
      </c>
      <c r="E33">
        <v>3.6550946692458681</v>
      </c>
      <c r="F33">
        <v>3.6222569608130741</v>
      </c>
      <c r="G33" s="1">
        <f t="shared" si="0"/>
        <v>3.6386758150294711</v>
      </c>
      <c r="H33" s="1">
        <f t="shared" si="1"/>
        <v>8.5508881653192574</v>
      </c>
      <c r="I33">
        <v>0</v>
      </c>
      <c r="J33">
        <v>0.99808733812105588</v>
      </c>
      <c r="U33" s="7"/>
      <c r="V33" s="7"/>
      <c r="W33" s="7"/>
      <c r="X33" s="7"/>
      <c r="Y33" s="7"/>
      <c r="Z33" s="7"/>
      <c r="AA33" s="7"/>
      <c r="AB33" s="7"/>
    </row>
    <row r="34" spans="1:28" x14ac:dyDescent="0.25">
      <c r="A34">
        <v>210</v>
      </c>
      <c r="B34">
        <v>1</v>
      </c>
      <c r="C34">
        <v>-0.1368576666353466</v>
      </c>
      <c r="D34">
        <v>-0.13607281934446619</v>
      </c>
      <c r="E34">
        <v>3.6454913622645861</v>
      </c>
      <c r="F34">
        <v>3.609508508967449</v>
      </c>
      <c r="G34" s="1">
        <f t="shared" si="0"/>
        <v>3.6274999356160178</v>
      </c>
      <c r="H34" s="1">
        <f t="shared" si="1"/>
        <v>8.524624848697643</v>
      </c>
      <c r="I34">
        <v>0</v>
      </c>
      <c r="J34">
        <v>0.99858962618928049</v>
      </c>
      <c r="U34" s="7"/>
      <c r="V34" s="7"/>
      <c r="W34" s="7"/>
      <c r="X34" s="7"/>
      <c r="Y34" s="7"/>
      <c r="Z34" s="7"/>
      <c r="AA34" s="7"/>
      <c r="AB34" s="7"/>
    </row>
    <row r="35" spans="1:28" x14ac:dyDescent="0.25">
      <c r="A35">
        <v>215</v>
      </c>
      <c r="B35">
        <v>1</v>
      </c>
      <c r="C35">
        <v>-0.1093666836085135</v>
      </c>
      <c r="D35">
        <v>-8.5682791963313812E-2</v>
      </c>
      <c r="E35">
        <v>3.6117587932874171</v>
      </c>
      <c r="F35">
        <v>3.579009313581305</v>
      </c>
      <c r="G35" s="1">
        <f t="shared" si="0"/>
        <v>3.5953840534343611</v>
      </c>
      <c r="H35" s="1">
        <f t="shared" si="1"/>
        <v>8.4491525255707494</v>
      </c>
      <c r="I35">
        <v>0</v>
      </c>
      <c r="J35">
        <v>0.99862525056940432</v>
      </c>
      <c r="U35" s="7"/>
      <c r="V35" s="7"/>
      <c r="W35" s="7"/>
      <c r="X35" s="7"/>
      <c r="Y35" s="7"/>
      <c r="Z35" s="7"/>
      <c r="AA35" s="7"/>
      <c r="AB35" s="7"/>
    </row>
    <row r="36" spans="1:28" x14ac:dyDescent="0.25">
      <c r="A36">
        <v>220</v>
      </c>
      <c r="B36">
        <v>1</v>
      </c>
      <c r="C36">
        <v>3.595672861029782E-2</v>
      </c>
      <c r="D36">
        <v>-4.1775821737882683E-2</v>
      </c>
      <c r="E36">
        <v>3.556331688796345</v>
      </c>
      <c r="F36">
        <v>3.536699090219487</v>
      </c>
      <c r="G36" s="1">
        <f t="shared" si="0"/>
        <v>3.546515389507916</v>
      </c>
      <c r="H36" s="1">
        <f t="shared" si="1"/>
        <v>8.3343111653436033</v>
      </c>
      <c r="I36">
        <v>0</v>
      </c>
      <c r="J36">
        <v>0.99846107907953208</v>
      </c>
      <c r="U36" s="7"/>
      <c r="V36" s="7"/>
      <c r="W36" s="7"/>
      <c r="X36" s="7"/>
      <c r="Y36" s="7"/>
      <c r="Z36" s="7"/>
      <c r="AA36" s="7"/>
      <c r="AB36" s="7"/>
    </row>
    <row r="37" spans="1:28" x14ac:dyDescent="0.25">
      <c r="A37">
        <v>225</v>
      </c>
      <c r="B37">
        <v>1</v>
      </c>
      <c r="C37">
        <v>-4.7611644487972317E-2</v>
      </c>
      <c r="D37">
        <v>2.887480196893083E-2</v>
      </c>
      <c r="E37">
        <v>3.5310887407509419</v>
      </c>
      <c r="F37">
        <v>3.5430528516334858</v>
      </c>
      <c r="G37" s="1">
        <f t="shared" si="0"/>
        <v>3.5370707961922139</v>
      </c>
      <c r="H37" s="1">
        <f t="shared" si="1"/>
        <v>8.3121163710517028</v>
      </c>
      <c r="I37">
        <v>0</v>
      </c>
      <c r="J37">
        <v>0.94934209346396903</v>
      </c>
      <c r="U37" s="7"/>
      <c r="V37" s="7"/>
      <c r="W37" s="7"/>
      <c r="X37" s="7"/>
      <c r="Y37" s="7"/>
      <c r="Z37" s="7"/>
      <c r="AA37" s="7"/>
      <c r="AB37" s="7"/>
    </row>
    <row r="38" spans="1:28" x14ac:dyDescent="0.25">
      <c r="A38">
        <v>230</v>
      </c>
      <c r="B38">
        <v>1</v>
      </c>
      <c r="C38">
        <v>-6.9517431843750269E-2</v>
      </c>
      <c r="D38">
        <v>-4.1059749543259277E-2</v>
      </c>
      <c r="E38">
        <v>3.4589803316916399</v>
      </c>
      <c r="F38">
        <v>3.5143434133249469</v>
      </c>
      <c r="G38" s="1">
        <f t="shared" si="0"/>
        <v>3.4866618725082934</v>
      </c>
      <c r="H38" s="1">
        <f t="shared" si="1"/>
        <v>8.1936554003944906</v>
      </c>
      <c r="I38">
        <v>0</v>
      </c>
      <c r="J38">
        <v>0.99892844313018425</v>
      </c>
      <c r="U38" s="7"/>
      <c r="V38" s="7"/>
      <c r="W38" s="7"/>
      <c r="X38" s="7"/>
      <c r="Y38" s="7"/>
      <c r="Z38" s="7"/>
      <c r="AA38" s="7"/>
      <c r="AB38" s="7"/>
    </row>
    <row r="39" spans="1:28" x14ac:dyDescent="0.25">
      <c r="A39">
        <v>235</v>
      </c>
      <c r="B39">
        <v>1</v>
      </c>
      <c r="C39">
        <v>0.16094969418530569</v>
      </c>
      <c r="D39">
        <v>2.285815997838675E-2</v>
      </c>
      <c r="E39">
        <v>3.4217936811749659</v>
      </c>
      <c r="F39">
        <v>3.5187389638714381</v>
      </c>
      <c r="G39" s="1">
        <f t="shared" si="0"/>
        <v>3.470266322523202</v>
      </c>
      <c r="H39" s="1">
        <f t="shared" si="1"/>
        <v>8.1551258579295247</v>
      </c>
      <c r="I39">
        <v>0</v>
      </c>
      <c r="J39">
        <v>0.99999998968978998</v>
      </c>
      <c r="U39" s="7"/>
      <c r="V39" s="7"/>
      <c r="W39" s="7"/>
      <c r="X39" s="7"/>
      <c r="Y39" s="7"/>
      <c r="Z39" s="7"/>
      <c r="AA39" s="7"/>
      <c r="AB39" s="7"/>
    </row>
    <row r="40" spans="1:28" x14ac:dyDescent="0.25">
      <c r="A40">
        <v>240</v>
      </c>
      <c r="B40">
        <v>1</v>
      </c>
      <c r="C40">
        <v>0.23056973524885579</v>
      </c>
      <c r="D40">
        <v>3.9890971955816153E-2</v>
      </c>
      <c r="E40">
        <v>3.313826097826237</v>
      </c>
      <c r="F40">
        <v>3.4906816747027181</v>
      </c>
      <c r="G40" s="1">
        <f t="shared" si="0"/>
        <v>3.4022538862644778</v>
      </c>
      <c r="H40" s="1">
        <f t="shared" si="1"/>
        <v>7.9952966327215229</v>
      </c>
      <c r="I40">
        <v>0</v>
      </c>
      <c r="J40">
        <v>0.99999999999999989</v>
      </c>
      <c r="U40" s="7"/>
      <c r="V40" s="7"/>
      <c r="W40" s="7"/>
      <c r="X40" s="7"/>
      <c r="Y40" s="7"/>
      <c r="Z40" s="7"/>
      <c r="AA40" s="7"/>
      <c r="AB40" s="7"/>
    </row>
    <row r="41" spans="1:28" x14ac:dyDescent="0.25">
      <c r="A41">
        <v>245</v>
      </c>
      <c r="B41">
        <v>1</v>
      </c>
      <c r="C41">
        <v>0.31073442011000052</v>
      </c>
      <c r="D41">
        <v>-8.1306951687006371E-3</v>
      </c>
      <c r="E41">
        <v>3.2107836346898631</v>
      </c>
      <c r="F41">
        <v>3.2843815686648168</v>
      </c>
      <c r="G41">
        <f t="shared" si="0"/>
        <v>3.2475826016773399</v>
      </c>
      <c r="H41" s="1">
        <f t="shared" si="1"/>
        <v>7.6318191139417495</v>
      </c>
      <c r="I41">
        <v>0</v>
      </c>
      <c r="J41">
        <v>0.99979607290887074</v>
      </c>
      <c r="U41" s="7"/>
      <c r="V41" s="7"/>
      <c r="W41" s="7"/>
      <c r="X41" s="7"/>
      <c r="Y41" s="7"/>
      <c r="Z41" s="7"/>
      <c r="AA41" s="7"/>
      <c r="AB41" s="7"/>
    </row>
  </sheetData>
  <mergeCells count="1">
    <mergeCell ref="B4:J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4168-16FB-48A7-9A8F-6FE389A5EE42}">
  <dimension ref="A1:AB41"/>
  <sheetViews>
    <sheetView workbookViewId="0">
      <selection activeCell="A2" sqref="A2"/>
    </sheetView>
  </sheetViews>
  <sheetFormatPr defaultRowHeight="15" x14ac:dyDescent="0.25"/>
  <cols>
    <col min="7" max="8" width="13.85546875" customWidth="1"/>
    <col min="21" max="28" width="11.5703125" bestFit="1" customWidth="1"/>
  </cols>
  <sheetData>
    <row r="1" spans="1:28" x14ac:dyDescent="0.25">
      <c r="A1" t="s">
        <v>48</v>
      </c>
    </row>
    <row r="2" spans="1:28" x14ac:dyDescent="0.25">
      <c r="A2" t="s">
        <v>49</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66</v>
      </c>
      <c r="I5" t="s">
        <v>32</v>
      </c>
      <c r="J5" t="s">
        <v>26</v>
      </c>
    </row>
    <row r="6" spans="1:28" x14ac:dyDescent="0.25">
      <c r="A6">
        <v>70</v>
      </c>
      <c r="B6">
        <v>1</v>
      </c>
      <c r="C6">
        <v>5.1528581075948397E-2</v>
      </c>
      <c r="D6">
        <v>0.14453101957306819</v>
      </c>
      <c r="E6">
        <v>6.0930791023817488</v>
      </c>
      <c r="F6">
        <v>6.1338419477197084</v>
      </c>
      <c r="G6" s="1">
        <f>AVERAGE(E6:F6)</f>
        <v>6.1134605250507281</v>
      </c>
      <c r="H6" s="1">
        <f>2.35*G6</f>
        <v>14.366632233869211</v>
      </c>
      <c r="I6">
        <v>0</v>
      </c>
      <c r="J6">
        <v>0.98287889113785809</v>
      </c>
      <c r="U6" s="6"/>
      <c r="V6" s="6"/>
      <c r="W6" s="6"/>
      <c r="X6" s="6"/>
      <c r="Y6" s="6"/>
      <c r="Z6" s="6"/>
      <c r="AA6" s="6"/>
      <c r="AB6" s="6"/>
    </row>
    <row r="7" spans="1:28" x14ac:dyDescent="0.25">
      <c r="A7">
        <v>75</v>
      </c>
      <c r="B7">
        <v>1</v>
      </c>
      <c r="C7">
        <v>-8.2913845790693302E-2</v>
      </c>
      <c r="D7">
        <v>-9.2701624159625809E-2</v>
      </c>
      <c r="E7">
        <v>5.8979990067104247</v>
      </c>
      <c r="F7">
        <v>5.7785036579226654</v>
      </c>
      <c r="G7" s="1">
        <f t="shared" ref="G7:G41" si="0">AVERAGE(E7:F7)</f>
        <v>5.8382513323165455</v>
      </c>
      <c r="H7" s="1">
        <f t="shared" ref="H7:H41" si="1">2.35*G7</f>
        <v>13.719890630943882</v>
      </c>
      <c r="I7">
        <v>0</v>
      </c>
      <c r="J7">
        <v>0.97952371410958683</v>
      </c>
      <c r="U7" s="6"/>
      <c r="V7" s="6"/>
      <c r="W7" s="6"/>
      <c r="X7" s="6"/>
      <c r="Y7" s="6"/>
      <c r="Z7" s="6"/>
      <c r="AA7" s="6"/>
      <c r="AB7" s="6"/>
    </row>
    <row r="8" spans="1:28" x14ac:dyDescent="0.25">
      <c r="A8">
        <v>80</v>
      </c>
      <c r="B8">
        <v>1</v>
      </c>
      <c r="C8">
        <v>-0.27521054899403208</v>
      </c>
      <c r="D8">
        <v>3.9329049988994932E-2</v>
      </c>
      <c r="E8">
        <v>5.7445577695577077</v>
      </c>
      <c r="F8">
        <v>5.5044929445213953</v>
      </c>
      <c r="G8" s="1">
        <f t="shared" si="0"/>
        <v>5.6245253570395519</v>
      </c>
      <c r="H8" s="1">
        <f t="shared" si="1"/>
        <v>13.217634589042948</v>
      </c>
      <c r="I8">
        <v>0</v>
      </c>
      <c r="J8">
        <v>0.98818481953156112</v>
      </c>
      <c r="U8" s="6"/>
      <c r="V8" s="6"/>
      <c r="W8" s="6"/>
      <c r="X8" s="6"/>
      <c r="Y8" s="6"/>
      <c r="Z8" s="6"/>
      <c r="AA8" s="6"/>
      <c r="AB8" s="6"/>
    </row>
    <row r="9" spans="1:28" x14ac:dyDescent="0.25">
      <c r="A9">
        <v>85</v>
      </c>
      <c r="B9">
        <v>1</v>
      </c>
      <c r="C9">
        <v>-9.5746618514109094E-2</v>
      </c>
      <c r="D9">
        <v>-4.9403192617288982E-2</v>
      </c>
      <c r="E9">
        <v>5.5974536694129426</v>
      </c>
      <c r="F9">
        <v>5.3229164792364987</v>
      </c>
      <c r="G9" s="1">
        <f t="shared" si="0"/>
        <v>5.4601850743247207</v>
      </c>
      <c r="H9" s="1">
        <f t="shared" si="1"/>
        <v>12.831434924663094</v>
      </c>
      <c r="I9">
        <v>0</v>
      </c>
      <c r="J9">
        <v>0.98828620745668838</v>
      </c>
      <c r="U9" s="6"/>
      <c r="V9" s="6"/>
      <c r="W9" s="6"/>
      <c r="X9" s="6"/>
      <c r="Y9" s="6"/>
      <c r="Z9" s="6"/>
      <c r="AA9" s="6"/>
      <c r="AB9" s="6"/>
    </row>
    <row r="10" spans="1:28" x14ac:dyDescent="0.25">
      <c r="A10">
        <v>90</v>
      </c>
      <c r="B10">
        <v>1</v>
      </c>
      <c r="C10">
        <v>-5.9294705552982219E-2</v>
      </c>
      <c r="D10">
        <v>-9.9613602371530097E-3</v>
      </c>
      <c r="E10">
        <v>5.3774312903773094</v>
      </c>
      <c r="F10">
        <v>5.1294905964056641</v>
      </c>
      <c r="G10" s="1">
        <f t="shared" si="0"/>
        <v>5.2534609433914863</v>
      </c>
      <c r="H10" s="1">
        <f t="shared" si="1"/>
        <v>12.345633216969993</v>
      </c>
      <c r="I10">
        <v>0</v>
      </c>
      <c r="J10">
        <v>0.98403433727383971</v>
      </c>
      <c r="U10" s="6"/>
      <c r="V10" s="6"/>
      <c r="W10" s="6"/>
      <c r="X10" s="6"/>
      <c r="Y10" s="6"/>
      <c r="Z10" s="6"/>
      <c r="AA10" s="6"/>
      <c r="AB10" s="6"/>
    </row>
    <row r="11" spans="1:28" x14ac:dyDescent="0.25">
      <c r="A11">
        <v>95</v>
      </c>
      <c r="B11">
        <v>1</v>
      </c>
      <c r="C11">
        <v>-0.1750164162525672</v>
      </c>
      <c r="D11">
        <v>9.1799139728571524E-2</v>
      </c>
      <c r="E11">
        <v>5.206486690768199</v>
      </c>
      <c r="F11">
        <v>5.0247881781848047</v>
      </c>
      <c r="G11" s="1">
        <f t="shared" si="0"/>
        <v>5.1156374344765023</v>
      </c>
      <c r="H11" s="1">
        <f t="shared" si="1"/>
        <v>12.021747971019781</v>
      </c>
      <c r="I11">
        <v>0</v>
      </c>
      <c r="J11">
        <v>0.99206404973546092</v>
      </c>
      <c r="U11" s="6"/>
      <c r="V11" s="6"/>
      <c r="W11" s="6"/>
      <c r="X11" s="6"/>
      <c r="Y11" s="6"/>
      <c r="Z11" s="6"/>
      <c r="AA11" s="6"/>
      <c r="AB11" s="6"/>
    </row>
    <row r="12" spans="1:28" x14ac:dyDescent="0.25">
      <c r="A12">
        <v>100</v>
      </c>
      <c r="B12">
        <v>1</v>
      </c>
      <c r="C12">
        <v>4.8742109354295391E-4</v>
      </c>
      <c r="D12">
        <v>4.4107145686948943E-2</v>
      </c>
      <c r="E12">
        <v>5.0281885202642007</v>
      </c>
      <c r="F12">
        <v>4.8984632375240436</v>
      </c>
      <c r="G12" s="1">
        <f t="shared" si="0"/>
        <v>4.9633258788941221</v>
      </c>
      <c r="H12" s="1">
        <f t="shared" si="1"/>
        <v>11.663815815401188</v>
      </c>
      <c r="I12">
        <v>0</v>
      </c>
      <c r="J12">
        <v>0.99016246591431367</v>
      </c>
      <c r="U12" s="6"/>
      <c r="V12" s="6"/>
      <c r="W12" s="6"/>
      <c r="X12" s="6"/>
      <c r="Y12" s="6"/>
      <c r="Z12" s="6"/>
      <c r="AA12" s="6"/>
      <c r="AB12" s="6"/>
    </row>
    <row r="13" spans="1:28" x14ac:dyDescent="0.25">
      <c r="A13">
        <v>105</v>
      </c>
      <c r="B13">
        <v>1</v>
      </c>
      <c r="C13">
        <v>-0.16395080088608999</v>
      </c>
      <c r="D13">
        <v>5.6185904099663141E-3</v>
      </c>
      <c r="E13">
        <v>4.8723461223914093</v>
      </c>
      <c r="F13">
        <v>4.799302257184749</v>
      </c>
      <c r="G13" s="1">
        <f t="shared" si="0"/>
        <v>4.8358241897880792</v>
      </c>
      <c r="H13" s="1">
        <f t="shared" si="1"/>
        <v>11.364186846001987</v>
      </c>
      <c r="I13">
        <v>0</v>
      </c>
      <c r="J13">
        <v>0.7</v>
      </c>
      <c r="U13" s="6"/>
      <c r="V13" s="6"/>
      <c r="W13" s="6"/>
      <c r="X13" s="6"/>
      <c r="Y13" s="6"/>
      <c r="Z13" s="6"/>
      <c r="AA13" s="6"/>
      <c r="AB13" s="6"/>
    </row>
    <row r="14" spans="1:28" x14ac:dyDescent="0.25">
      <c r="A14">
        <v>110</v>
      </c>
      <c r="B14">
        <v>0.99999999977526222</v>
      </c>
      <c r="C14">
        <v>-0.2143140499840179</v>
      </c>
      <c r="D14">
        <v>0.1251638419844798</v>
      </c>
      <c r="E14">
        <v>4.7415585920698886</v>
      </c>
      <c r="F14">
        <v>4.7266873868279138</v>
      </c>
      <c r="G14" s="1">
        <f t="shared" si="0"/>
        <v>4.7341229894489008</v>
      </c>
      <c r="H14" s="1">
        <f t="shared" si="1"/>
        <v>11.125189025204918</v>
      </c>
      <c r="I14">
        <v>0</v>
      </c>
      <c r="J14">
        <v>0.99682663840588448</v>
      </c>
      <c r="U14" s="6"/>
      <c r="V14" s="6"/>
      <c r="W14" s="6"/>
      <c r="X14" s="6"/>
      <c r="Y14" s="6"/>
      <c r="Z14" s="6"/>
      <c r="AA14" s="6"/>
      <c r="AB14" s="6"/>
    </row>
    <row r="15" spans="1:28" x14ac:dyDescent="0.25">
      <c r="A15">
        <v>115</v>
      </c>
      <c r="B15">
        <v>1</v>
      </c>
      <c r="C15">
        <v>-1.6326619591247159E-2</v>
      </c>
      <c r="D15">
        <v>-6.0022960501524419E-2</v>
      </c>
      <c r="E15">
        <v>4.5698220307188606</v>
      </c>
      <c r="F15">
        <v>4.6150505064377629</v>
      </c>
      <c r="G15" s="1">
        <f t="shared" si="0"/>
        <v>4.5924362685783118</v>
      </c>
      <c r="H15" s="1">
        <f t="shared" si="1"/>
        <v>10.792225231159033</v>
      </c>
      <c r="I15">
        <v>0</v>
      </c>
      <c r="J15">
        <v>0.99526091051981291</v>
      </c>
      <c r="U15" s="6"/>
      <c r="V15" s="6"/>
      <c r="W15" s="6"/>
      <c r="X15" s="6"/>
      <c r="Y15" s="6"/>
      <c r="Z15" s="6"/>
      <c r="AA15" s="6"/>
      <c r="AB15" s="6"/>
    </row>
    <row r="16" spans="1:28" x14ac:dyDescent="0.25">
      <c r="A16">
        <v>120</v>
      </c>
      <c r="B16">
        <v>0.98944624371738199</v>
      </c>
      <c r="C16">
        <v>-6.5342143366409172E-2</v>
      </c>
      <c r="D16">
        <v>5.533268516256825E-2</v>
      </c>
      <c r="E16">
        <v>4.4288984194293866</v>
      </c>
      <c r="F16">
        <v>4.5239110518563068</v>
      </c>
      <c r="G16" s="1">
        <f t="shared" si="0"/>
        <v>4.4764047356428467</v>
      </c>
      <c r="H16" s="1">
        <f t="shared" si="1"/>
        <v>10.519551128760691</v>
      </c>
      <c r="I16">
        <v>0</v>
      </c>
      <c r="J16">
        <v>0.99271118897026522</v>
      </c>
      <c r="U16" s="6"/>
      <c r="V16" s="6"/>
      <c r="W16" s="6"/>
      <c r="X16" s="6"/>
      <c r="Y16" s="6"/>
      <c r="Z16" s="6"/>
      <c r="AA16" s="6"/>
      <c r="AB16" s="6"/>
    </row>
    <row r="17" spans="1:28" x14ac:dyDescent="0.25">
      <c r="A17">
        <v>125</v>
      </c>
      <c r="B17">
        <v>1</v>
      </c>
      <c r="C17">
        <v>-0.21122804711571139</v>
      </c>
      <c r="D17">
        <v>6.7537207120787868E-2</v>
      </c>
      <c r="E17">
        <v>4.3317525220839279</v>
      </c>
      <c r="F17">
        <v>4.457180798453825</v>
      </c>
      <c r="G17" s="1">
        <f t="shared" si="0"/>
        <v>4.3944666602688764</v>
      </c>
      <c r="H17" s="1">
        <f t="shared" si="1"/>
        <v>10.326996651631861</v>
      </c>
      <c r="I17">
        <v>0</v>
      </c>
      <c r="J17">
        <v>0.9967241241082162</v>
      </c>
      <c r="U17" s="6"/>
      <c r="V17" s="6"/>
      <c r="W17" s="6"/>
      <c r="X17" s="6"/>
      <c r="Y17" s="6"/>
      <c r="Z17" s="6"/>
      <c r="AA17" s="6"/>
      <c r="AB17" s="6"/>
    </row>
    <row r="18" spans="1:28" x14ac:dyDescent="0.25">
      <c r="A18">
        <v>130</v>
      </c>
      <c r="B18">
        <v>1</v>
      </c>
      <c r="C18">
        <v>-6.4365162940033777E-2</v>
      </c>
      <c r="D18">
        <v>-2.868232446322584E-3</v>
      </c>
      <c r="E18">
        <v>4.2473071432750604</v>
      </c>
      <c r="F18">
        <v>4.3910278174123674</v>
      </c>
      <c r="G18" s="1">
        <f t="shared" si="0"/>
        <v>4.3191674803437134</v>
      </c>
      <c r="H18" s="1">
        <f t="shared" si="1"/>
        <v>10.150043578807727</v>
      </c>
      <c r="I18">
        <v>0</v>
      </c>
      <c r="J18">
        <v>0.89752687191919223</v>
      </c>
      <c r="U18" s="6"/>
      <c r="V18" s="6"/>
      <c r="W18" s="6"/>
      <c r="X18" s="6"/>
      <c r="Y18" s="6"/>
      <c r="Z18" s="6"/>
      <c r="AA18" s="6"/>
      <c r="AB18" s="6"/>
    </row>
    <row r="19" spans="1:28" x14ac:dyDescent="0.25">
      <c r="A19">
        <v>135</v>
      </c>
      <c r="B19">
        <v>1</v>
      </c>
      <c r="C19">
        <v>-7.4747885271421052E-2</v>
      </c>
      <c r="D19">
        <v>7.8717994103254876E-2</v>
      </c>
      <c r="E19">
        <v>4.1972884022449852</v>
      </c>
      <c r="F19">
        <v>4.3485852020989944</v>
      </c>
      <c r="G19" s="1">
        <f t="shared" si="0"/>
        <v>4.2729368021719898</v>
      </c>
      <c r="H19" s="1">
        <f t="shared" si="1"/>
        <v>10.041401485104176</v>
      </c>
      <c r="I19">
        <v>0</v>
      </c>
      <c r="J19">
        <v>0.94217291094935152</v>
      </c>
      <c r="U19" s="6"/>
      <c r="V19" s="6"/>
      <c r="W19" s="6"/>
      <c r="X19" s="6"/>
      <c r="Y19" s="6"/>
      <c r="Z19" s="6"/>
      <c r="AA19" s="6"/>
      <c r="AB19" s="6"/>
    </row>
    <row r="20" spans="1:28" x14ac:dyDescent="0.25">
      <c r="A20">
        <v>140</v>
      </c>
      <c r="B20">
        <v>0.99999999999</v>
      </c>
      <c r="C20">
        <v>-2.688760671416171E-2</v>
      </c>
      <c r="D20">
        <v>-2.495113843419574E-2</v>
      </c>
      <c r="E20">
        <v>4.1180032171600072</v>
      </c>
      <c r="F20">
        <v>4.2775453372683803</v>
      </c>
      <c r="G20" s="1">
        <f t="shared" si="0"/>
        <v>4.1977742772141937</v>
      </c>
      <c r="H20" s="1">
        <f t="shared" si="1"/>
        <v>9.8647695514533549</v>
      </c>
      <c r="I20">
        <v>0</v>
      </c>
      <c r="J20">
        <v>0.99836137204969821</v>
      </c>
      <c r="U20" s="6"/>
      <c r="V20" s="6"/>
      <c r="W20" s="6"/>
      <c r="X20" s="6"/>
      <c r="Y20" s="6"/>
      <c r="Z20" s="6"/>
      <c r="AA20" s="6"/>
      <c r="AB20" s="6"/>
    </row>
    <row r="21" spans="1:28" x14ac:dyDescent="0.25">
      <c r="A21">
        <v>145</v>
      </c>
      <c r="B21">
        <v>1</v>
      </c>
      <c r="C21">
        <v>-0.13692791857168121</v>
      </c>
      <c r="D21">
        <v>0.14874047381013231</v>
      </c>
      <c r="E21">
        <v>4.0295452501231122</v>
      </c>
      <c r="F21">
        <v>4.1928169241251272</v>
      </c>
      <c r="G21" s="1">
        <f t="shared" si="0"/>
        <v>4.1111810871241197</v>
      </c>
      <c r="H21" s="1">
        <f t="shared" si="1"/>
        <v>9.6612755547416818</v>
      </c>
      <c r="I21">
        <v>0</v>
      </c>
      <c r="J21">
        <v>0.86641700279679112</v>
      </c>
      <c r="U21" s="6"/>
      <c r="V21" s="6"/>
      <c r="W21" s="6"/>
      <c r="X21" s="6"/>
      <c r="Y21" s="6"/>
      <c r="Z21" s="6"/>
      <c r="AA21" s="6"/>
      <c r="AB21" s="6"/>
    </row>
    <row r="22" spans="1:28" x14ac:dyDescent="0.25">
      <c r="A22">
        <v>150</v>
      </c>
      <c r="B22">
        <v>1</v>
      </c>
      <c r="C22">
        <v>-0.2288100590654136</v>
      </c>
      <c r="D22">
        <v>3.2536759102851379E-2</v>
      </c>
      <c r="E22">
        <v>3.9927800394240238</v>
      </c>
      <c r="F22">
        <v>4.1506178145425796</v>
      </c>
      <c r="G22" s="1">
        <f t="shared" si="0"/>
        <v>4.0716989269833022</v>
      </c>
      <c r="H22" s="1">
        <f t="shared" si="1"/>
        <v>9.5684924784107608</v>
      </c>
      <c r="I22">
        <v>0</v>
      </c>
      <c r="J22">
        <v>0.99833266636447293</v>
      </c>
      <c r="U22" s="6"/>
      <c r="V22" s="6"/>
      <c r="W22" s="6"/>
      <c r="X22" s="6"/>
      <c r="Y22" s="6"/>
      <c r="Z22" s="6"/>
      <c r="AA22" s="6"/>
      <c r="AB22" s="6"/>
    </row>
    <row r="23" spans="1:28" x14ac:dyDescent="0.25">
      <c r="A23">
        <v>155</v>
      </c>
      <c r="B23">
        <v>0.99999999999941336</v>
      </c>
      <c r="C23">
        <v>-0.23475700321488729</v>
      </c>
      <c r="D23">
        <v>0.1686703536269695</v>
      </c>
      <c r="E23">
        <v>3.9749735428728812</v>
      </c>
      <c r="F23">
        <v>4.1142165240731643</v>
      </c>
      <c r="G23" s="1">
        <f t="shared" si="0"/>
        <v>4.0445950334730227</v>
      </c>
      <c r="H23" s="1">
        <f t="shared" si="1"/>
        <v>9.5047983286616038</v>
      </c>
      <c r="I23">
        <v>0</v>
      </c>
      <c r="J23">
        <v>1</v>
      </c>
      <c r="U23" s="6"/>
      <c r="V23" s="6"/>
      <c r="W23" s="6"/>
      <c r="X23" s="6"/>
      <c r="Y23" s="6"/>
      <c r="Z23" s="6"/>
      <c r="AA23" s="6"/>
      <c r="AB23" s="6"/>
    </row>
    <row r="24" spans="1:28" x14ac:dyDescent="0.25">
      <c r="A24">
        <v>160</v>
      </c>
      <c r="B24">
        <v>1</v>
      </c>
      <c r="C24">
        <v>-7.0014312717292457E-2</v>
      </c>
      <c r="D24">
        <v>-4.4861910269175867E-2</v>
      </c>
      <c r="E24">
        <v>3.9336594023920122</v>
      </c>
      <c r="F24">
        <v>4.0605757019930477</v>
      </c>
      <c r="G24" s="1">
        <f t="shared" si="0"/>
        <v>3.9971175521925302</v>
      </c>
      <c r="H24" s="1">
        <f t="shared" si="1"/>
        <v>9.3932262476524464</v>
      </c>
      <c r="I24">
        <v>0</v>
      </c>
      <c r="J24">
        <v>0.99839075852315029</v>
      </c>
      <c r="U24" s="6"/>
      <c r="V24" s="6"/>
      <c r="W24" s="6"/>
      <c r="X24" s="6"/>
      <c r="Y24" s="6"/>
      <c r="Z24" s="6"/>
      <c r="AA24" s="6"/>
      <c r="AB24" s="6"/>
    </row>
    <row r="25" spans="1:28" x14ac:dyDescent="0.25">
      <c r="A25">
        <v>165</v>
      </c>
      <c r="B25">
        <v>1</v>
      </c>
      <c r="C25">
        <v>-7.5121827969292412E-2</v>
      </c>
      <c r="D25">
        <v>-4.6806910683266638E-2</v>
      </c>
      <c r="E25">
        <v>3.9023219177253701</v>
      </c>
      <c r="F25">
        <v>4.0047306823796953</v>
      </c>
      <c r="G25" s="1">
        <f t="shared" si="0"/>
        <v>3.9535263000525327</v>
      </c>
      <c r="H25" s="1">
        <f t="shared" si="1"/>
        <v>9.290786805123453</v>
      </c>
      <c r="I25">
        <v>0</v>
      </c>
      <c r="J25">
        <v>0.99830434703659254</v>
      </c>
      <c r="U25" s="6"/>
      <c r="V25" s="6"/>
      <c r="W25" s="6"/>
      <c r="X25" s="6"/>
      <c r="Y25" s="6"/>
      <c r="Z25" s="6"/>
      <c r="AA25" s="6"/>
      <c r="AB25" s="6"/>
    </row>
    <row r="26" spans="1:28" x14ac:dyDescent="0.25">
      <c r="A26">
        <v>170</v>
      </c>
      <c r="B26">
        <v>1</v>
      </c>
      <c r="C26">
        <v>-1.281007616999061E-2</v>
      </c>
      <c r="D26">
        <v>0.11746278698171191</v>
      </c>
      <c r="E26">
        <v>3.901486387348077</v>
      </c>
      <c r="F26">
        <v>3.9889171852485839</v>
      </c>
      <c r="G26" s="1">
        <f t="shared" si="0"/>
        <v>3.9452017862983304</v>
      </c>
      <c r="H26" s="1">
        <f t="shared" si="1"/>
        <v>9.271224197801077</v>
      </c>
      <c r="I26">
        <v>0</v>
      </c>
      <c r="J26">
        <v>0.99851041538759577</v>
      </c>
      <c r="U26" s="6"/>
      <c r="V26" s="6"/>
      <c r="W26" s="6"/>
      <c r="X26" s="6"/>
      <c r="Y26" s="6"/>
      <c r="Z26" s="6"/>
      <c r="AA26" s="6"/>
      <c r="AB26" s="6"/>
    </row>
    <row r="27" spans="1:28" x14ac:dyDescent="0.25">
      <c r="A27">
        <v>175</v>
      </c>
      <c r="B27">
        <v>1</v>
      </c>
      <c r="C27">
        <v>-0.18119370801554099</v>
      </c>
      <c r="D27">
        <v>-9.1474541944143187E-2</v>
      </c>
      <c r="E27">
        <v>3.8769455018889931</v>
      </c>
      <c r="F27">
        <v>3.9517288802120158</v>
      </c>
      <c r="G27" s="1">
        <f t="shared" si="0"/>
        <v>3.9143371910505045</v>
      </c>
      <c r="H27" s="1">
        <f t="shared" si="1"/>
        <v>9.1986923989686851</v>
      </c>
      <c r="I27">
        <v>0</v>
      </c>
      <c r="J27">
        <v>0.99831676401521174</v>
      </c>
      <c r="U27" s="6"/>
      <c r="V27" s="6"/>
      <c r="W27" s="6"/>
      <c r="X27" s="6"/>
      <c r="Y27" s="6"/>
      <c r="Z27" s="6"/>
      <c r="AA27" s="6"/>
      <c r="AB27" s="6"/>
    </row>
    <row r="28" spans="1:28" x14ac:dyDescent="0.25">
      <c r="A28">
        <v>180</v>
      </c>
      <c r="B28">
        <v>1</v>
      </c>
      <c r="C28">
        <v>-6.8197802138209992E-3</v>
      </c>
      <c r="D28">
        <v>0.13953196814597099</v>
      </c>
      <c r="E28">
        <v>3.8508118159764648</v>
      </c>
      <c r="F28">
        <v>3.915755137099683</v>
      </c>
      <c r="G28" s="1">
        <f t="shared" si="0"/>
        <v>3.8832834765380739</v>
      </c>
      <c r="H28" s="1">
        <f t="shared" si="1"/>
        <v>9.1257161698644733</v>
      </c>
      <c r="I28">
        <v>0</v>
      </c>
      <c r="J28">
        <v>0.99814482810883132</v>
      </c>
      <c r="U28" s="6"/>
      <c r="V28" s="6"/>
      <c r="W28" s="6"/>
      <c r="X28" s="6"/>
      <c r="Y28" s="6"/>
      <c r="Z28" s="6"/>
      <c r="AA28" s="6"/>
      <c r="AB28" s="6"/>
    </row>
    <row r="29" spans="1:28" x14ac:dyDescent="0.25">
      <c r="A29">
        <v>185</v>
      </c>
      <c r="B29">
        <v>1</v>
      </c>
      <c r="C29">
        <v>-4.3745815342903498E-2</v>
      </c>
      <c r="D29">
        <v>4.1347022975072548E-2</v>
      </c>
      <c r="E29">
        <v>3.7991226795710511</v>
      </c>
      <c r="F29">
        <v>3.8838586245140339</v>
      </c>
      <c r="G29" s="1">
        <f t="shared" si="0"/>
        <v>3.8414906520425425</v>
      </c>
      <c r="H29" s="1">
        <f t="shared" si="1"/>
        <v>9.0275030322999754</v>
      </c>
      <c r="I29">
        <v>0</v>
      </c>
      <c r="J29">
        <v>0.99785315166606792</v>
      </c>
      <c r="U29" s="6"/>
      <c r="V29" s="6"/>
      <c r="W29" s="6"/>
      <c r="X29" s="6"/>
      <c r="Y29" s="6"/>
      <c r="Z29" s="6"/>
      <c r="AA29" s="6"/>
      <c r="AB29" s="6"/>
    </row>
    <row r="30" spans="1:28" x14ac:dyDescent="0.25">
      <c r="A30">
        <v>190</v>
      </c>
      <c r="B30">
        <v>1</v>
      </c>
      <c r="C30">
        <v>-5.6788247851255802E-2</v>
      </c>
      <c r="D30">
        <v>-6.2612112219736213E-2</v>
      </c>
      <c r="E30">
        <v>3.7128116099165349</v>
      </c>
      <c r="F30">
        <v>3.8334144321220038</v>
      </c>
      <c r="G30" s="1">
        <f t="shared" si="0"/>
        <v>3.7731130210192694</v>
      </c>
      <c r="H30" s="1">
        <f t="shared" si="1"/>
        <v>8.8668155993952826</v>
      </c>
      <c r="I30">
        <v>0</v>
      </c>
      <c r="J30">
        <v>0.99662747465989576</v>
      </c>
      <c r="U30" s="6"/>
      <c r="V30" s="6"/>
      <c r="W30" s="6"/>
      <c r="X30" s="6"/>
      <c r="Y30" s="6"/>
      <c r="Z30" s="6"/>
      <c r="AA30" s="6"/>
      <c r="AB30" s="6"/>
    </row>
    <row r="31" spans="1:28" x14ac:dyDescent="0.25">
      <c r="A31">
        <v>195</v>
      </c>
      <c r="B31">
        <v>1</v>
      </c>
      <c r="C31">
        <v>-0.17839819885811301</v>
      </c>
      <c r="D31">
        <v>5.1151118305778391E-2</v>
      </c>
      <c r="E31">
        <v>3.6640918654185799</v>
      </c>
      <c r="F31">
        <v>3.8074113541136478</v>
      </c>
      <c r="G31" s="1">
        <f t="shared" si="0"/>
        <v>3.7357516097661136</v>
      </c>
      <c r="H31" s="1">
        <f t="shared" si="1"/>
        <v>8.7790162829503675</v>
      </c>
      <c r="I31">
        <v>0</v>
      </c>
      <c r="J31">
        <v>0.99590247097085294</v>
      </c>
      <c r="U31" s="6"/>
      <c r="V31" s="6"/>
      <c r="W31" s="6"/>
      <c r="X31" s="6"/>
      <c r="Y31" s="6"/>
      <c r="Z31" s="6"/>
      <c r="AA31" s="6"/>
      <c r="AB31" s="6"/>
    </row>
    <row r="32" spans="1:28" x14ac:dyDescent="0.25">
      <c r="A32">
        <v>200</v>
      </c>
      <c r="B32">
        <v>1</v>
      </c>
      <c r="C32">
        <v>-0.1492836590076059</v>
      </c>
      <c r="D32">
        <v>0.1206150937996137</v>
      </c>
      <c r="E32">
        <v>3.6233939117122258</v>
      </c>
      <c r="F32">
        <v>3.772927625297358</v>
      </c>
      <c r="G32" s="1">
        <f t="shared" si="0"/>
        <v>3.6981607685047919</v>
      </c>
      <c r="H32" s="1">
        <f t="shared" si="1"/>
        <v>8.6906778059862617</v>
      </c>
      <c r="I32">
        <v>0</v>
      </c>
      <c r="J32">
        <v>0.996791381676291</v>
      </c>
      <c r="U32" s="6"/>
      <c r="V32" s="6"/>
      <c r="W32" s="6"/>
      <c r="X32" s="6"/>
      <c r="Y32" s="6"/>
      <c r="Z32" s="6"/>
      <c r="AA32" s="6"/>
      <c r="AB32" s="6"/>
    </row>
    <row r="33" spans="1:28" x14ac:dyDescent="0.25">
      <c r="A33">
        <v>205</v>
      </c>
      <c r="B33">
        <v>1</v>
      </c>
      <c r="C33">
        <v>-0.150393443928832</v>
      </c>
      <c r="D33">
        <v>-0.1204796238950972</v>
      </c>
      <c r="E33">
        <v>3.5551651176467809</v>
      </c>
      <c r="F33">
        <v>3.6826608361939308</v>
      </c>
      <c r="G33" s="1">
        <f t="shared" si="0"/>
        <v>3.6189129769203561</v>
      </c>
      <c r="H33" s="1">
        <f t="shared" si="1"/>
        <v>8.5044454957628375</v>
      </c>
      <c r="I33">
        <v>0</v>
      </c>
      <c r="J33">
        <v>0.97272961085331799</v>
      </c>
      <c r="U33" s="6"/>
      <c r="V33" s="6"/>
      <c r="W33" s="6"/>
      <c r="X33" s="6"/>
      <c r="Y33" s="6"/>
      <c r="Z33" s="6"/>
      <c r="AA33" s="6"/>
      <c r="AB33" s="6"/>
    </row>
    <row r="34" spans="1:28" x14ac:dyDescent="0.25">
      <c r="A34">
        <v>210</v>
      </c>
      <c r="B34">
        <v>1</v>
      </c>
      <c r="C34">
        <v>-0.15159071873067401</v>
      </c>
      <c r="D34">
        <v>2.5415360302710799E-2</v>
      </c>
      <c r="E34">
        <v>3.5514302045099599</v>
      </c>
      <c r="F34">
        <v>3.648111372828521</v>
      </c>
      <c r="G34" s="1">
        <f t="shared" si="0"/>
        <v>3.5997707886692405</v>
      </c>
      <c r="H34" s="1">
        <f t="shared" si="1"/>
        <v>8.4594613533727152</v>
      </c>
      <c r="I34">
        <v>0</v>
      </c>
      <c r="J34">
        <v>0.99611070603848217</v>
      </c>
      <c r="U34" s="6"/>
      <c r="V34" s="6"/>
      <c r="W34" s="6"/>
      <c r="X34" s="6"/>
      <c r="Y34" s="6"/>
      <c r="Z34" s="6"/>
      <c r="AA34" s="6"/>
      <c r="AB34" s="6"/>
    </row>
    <row r="35" spans="1:28" x14ac:dyDescent="0.25">
      <c r="A35">
        <v>215</v>
      </c>
      <c r="B35">
        <v>1</v>
      </c>
      <c r="C35">
        <v>-3.638253588964134E-2</v>
      </c>
      <c r="D35">
        <v>4.537820367891382E-3</v>
      </c>
      <c r="E35">
        <v>3.506081692342971</v>
      </c>
      <c r="F35">
        <v>3.5626115154618558</v>
      </c>
      <c r="G35" s="1">
        <f t="shared" si="0"/>
        <v>3.5343466039024136</v>
      </c>
      <c r="H35" s="1">
        <f t="shared" si="1"/>
        <v>8.3057145191706727</v>
      </c>
      <c r="I35">
        <v>0</v>
      </c>
      <c r="J35">
        <v>0.99573090911298801</v>
      </c>
      <c r="U35" s="6"/>
      <c r="V35" s="6"/>
      <c r="W35" s="6"/>
      <c r="X35" s="6"/>
      <c r="Y35" s="6"/>
      <c r="Z35" s="6"/>
      <c r="AA35" s="6"/>
      <c r="AB35" s="6"/>
    </row>
    <row r="36" spans="1:28" x14ac:dyDescent="0.25">
      <c r="A36">
        <v>220</v>
      </c>
      <c r="B36">
        <v>1</v>
      </c>
      <c r="C36">
        <v>-7.4636362969869627E-2</v>
      </c>
      <c r="D36">
        <v>0.1373383295786168</v>
      </c>
      <c r="E36">
        <v>3.461563195159425</v>
      </c>
      <c r="F36">
        <v>3.4909219618248799</v>
      </c>
      <c r="G36" s="1">
        <f t="shared" si="0"/>
        <v>3.4762425784921525</v>
      </c>
      <c r="H36" s="1">
        <f t="shared" si="1"/>
        <v>8.1691700594565582</v>
      </c>
      <c r="I36">
        <v>0</v>
      </c>
      <c r="J36">
        <v>0.99589972892362866</v>
      </c>
      <c r="U36" s="6"/>
      <c r="V36" s="6"/>
      <c r="W36" s="6"/>
      <c r="X36" s="6"/>
      <c r="Y36" s="6"/>
      <c r="Z36" s="6"/>
      <c r="AA36" s="6"/>
      <c r="AB36" s="6"/>
    </row>
    <row r="37" spans="1:28" x14ac:dyDescent="0.25">
      <c r="A37">
        <v>225</v>
      </c>
      <c r="B37">
        <v>1</v>
      </c>
      <c r="C37">
        <v>2.4519401865994539E-3</v>
      </c>
      <c r="D37">
        <v>1.7887361265224361E-2</v>
      </c>
      <c r="E37">
        <v>3.406938644263954</v>
      </c>
      <c r="F37">
        <v>3.4049115195093589</v>
      </c>
      <c r="G37" s="1">
        <f t="shared" si="0"/>
        <v>3.4059250818866564</v>
      </c>
      <c r="H37" s="1">
        <f t="shared" si="1"/>
        <v>8.0039239424336426</v>
      </c>
      <c r="I37">
        <v>0</v>
      </c>
      <c r="J37">
        <v>0.99118416983088731</v>
      </c>
      <c r="U37" s="6"/>
      <c r="V37" s="6"/>
      <c r="W37" s="6"/>
      <c r="X37" s="6"/>
      <c r="Y37" s="6"/>
      <c r="Z37" s="6"/>
      <c r="AA37" s="6"/>
      <c r="AB37" s="6"/>
    </row>
    <row r="38" spans="1:28" x14ac:dyDescent="0.25">
      <c r="A38">
        <v>230</v>
      </c>
      <c r="B38">
        <v>1</v>
      </c>
      <c r="C38">
        <v>-0.1135676590339737</v>
      </c>
      <c r="D38">
        <v>3.6998632919558391E-2</v>
      </c>
      <c r="E38">
        <v>3.3572181039856281</v>
      </c>
      <c r="F38">
        <v>3.3028042746501471</v>
      </c>
      <c r="G38" s="1">
        <f t="shared" si="0"/>
        <v>3.3300111893178874</v>
      </c>
      <c r="H38" s="1">
        <f t="shared" si="1"/>
        <v>7.8255262948970357</v>
      </c>
      <c r="I38">
        <v>0</v>
      </c>
      <c r="J38">
        <v>0.99285192532001598</v>
      </c>
      <c r="U38" s="6"/>
      <c r="V38" s="6"/>
      <c r="W38" s="6"/>
      <c r="X38" s="6"/>
      <c r="Y38" s="6"/>
      <c r="Z38" s="6"/>
      <c r="AA38" s="6"/>
      <c r="AB38" s="6"/>
    </row>
    <row r="39" spans="1:28" x14ac:dyDescent="0.25">
      <c r="A39">
        <v>235</v>
      </c>
      <c r="B39">
        <v>1</v>
      </c>
      <c r="C39">
        <v>-5.9890793324056432E-2</v>
      </c>
      <c r="D39">
        <v>9.3918176127582881E-2</v>
      </c>
      <c r="E39">
        <v>3.276304326703837</v>
      </c>
      <c r="F39">
        <v>3.1812016930383731</v>
      </c>
      <c r="G39" s="1">
        <f t="shared" si="0"/>
        <v>3.228753009871105</v>
      </c>
      <c r="H39" s="1">
        <f t="shared" si="1"/>
        <v>7.5875695731970971</v>
      </c>
      <c r="I39">
        <v>0</v>
      </c>
      <c r="J39">
        <v>0.98920726092491074</v>
      </c>
      <c r="U39" s="6"/>
      <c r="V39" s="6"/>
      <c r="W39" s="6"/>
      <c r="X39" s="6"/>
      <c r="Y39" s="6"/>
      <c r="Z39" s="6"/>
      <c r="AA39" s="6"/>
      <c r="AB39" s="6"/>
    </row>
    <row r="40" spans="1:28" x14ac:dyDescent="0.25">
      <c r="A40">
        <v>240</v>
      </c>
      <c r="B40">
        <v>1</v>
      </c>
      <c r="C40">
        <v>-1.4474726289245971E-3</v>
      </c>
      <c r="D40">
        <v>-3.6064985313530501E-2</v>
      </c>
      <c r="E40">
        <v>3.1843009434383038</v>
      </c>
      <c r="F40">
        <v>3.0145640555969742</v>
      </c>
      <c r="G40" s="1">
        <f t="shared" si="0"/>
        <v>3.099432499517639</v>
      </c>
      <c r="H40" s="1">
        <f t="shared" si="1"/>
        <v>7.2836663738664518</v>
      </c>
      <c r="I40">
        <v>0</v>
      </c>
      <c r="J40">
        <v>0.97056484024770096</v>
      </c>
      <c r="U40" s="6"/>
      <c r="V40" s="6"/>
      <c r="W40" s="6"/>
      <c r="X40" s="6"/>
      <c r="Y40" s="6"/>
      <c r="Z40" s="6"/>
      <c r="AA40" s="6"/>
      <c r="AB40" s="6"/>
    </row>
    <row r="41" spans="1:28" x14ac:dyDescent="0.25">
      <c r="A41">
        <v>245</v>
      </c>
      <c r="B41">
        <v>1</v>
      </c>
      <c r="C41">
        <v>5.9952349656834103E-2</v>
      </c>
      <c r="D41">
        <v>0.11112007613431479</v>
      </c>
      <c r="E41">
        <v>3.0085603639435718</v>
      </c>
      <c r="F41">
        <v>2.810147778519565</v>
      </c>
      <c r="G41" s="1">
        <f t="shared" si="0"/>
        <v>2.9093540712315686</v>
      </c>
      <c r="H41" s="1">
        <f t="shared" si="1"/>
        <v>6.8369820673941861</v>
      </c>
      <c r="I41">
        <v>0</v>
      </c>
      <c r="J41">
        <v>0.99030396603860071</v>
      </c>
      <c r="U41" s="6"/>
      <c r="V41" s="6"/>
      <c r="W41" s="6"/>
      <c r="X41" s="6"/>
      <c r="Y41" s="6"/>
      <c r="Z41" s="6"/>
      <c r="AA41" s="6"/>
      <c r="AB41" s="6"/>
    </row>
  </sheetData>
  <mergeCells count="1">
    <mergeCell ref="B4:J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6595-40DD-4F3B-A0E4-7CBF2EB21574}">
  <dimension ref="A1:AB41"/>
  <sheetViews>
    <sheetView workbookViewId="0">
      <selection activeCell="A2" sqref="A2"/>
    </sheetView>
  </sheetViews>
  <sheetFormatPr defaultRowHeight="15" x14ac:dyDescent="0.25"/>
  <cols>
    <col min="7" max="8" width="12.85546875" customWidth="1"/>
    <col min="21" max="22" width="17.85546875" bestFit="1" customWidth="1"/>
    <col min="23" max="26" width="18.5703125" bestFit="1" customWidth="1"/>
    <col min="27" max="27" width="17.85546875" bestFit="1" customWidth="1"/>
    <col min="28" max="28" width="18.5703125" bestFit="1" customWidth="1"/>
  </cols>
  <sheetData>
    <row r="1" spans="1:28" x14ac:dyDescent="0.25">
      <c r="A1" t="s">
        <v>50</v>
      </c>
    </row>
    <row r="2" spans="1:28" x14ac:dyDescent="0.25">
      <c r="A2" t="s">
        <v>51</v>
      </c>
    </row>
    <row r="4" spans="1:28" x14ac:dyDescent="0.25">
      <c r="B4" s="25" t="s">
        <v>24</v>
      </c>
      <c r="C4" s="25"/>
      <c r="D4" s="25"/>
      <c r="E4" s="25"/>
      <c r="F4" s="25"/>
      <c r="G4" s="25"/>
      <c r="H4" s="25"/>
      <c r="I4" s="25"/>
      <c r="J4" s="25"/>
    </row>
    <row r="5" spans="1:28" x14ac:dyDescent="0.25">
      <c r="A5" s="2" t="s">
        <v>25</v>
      </c>
      <c r="B5" s="2" t="s">
        <v>26</v>
      </c>
      <c r="C5" s="2" t="s">
        <v>27</v>
      </c>
      <c r="D5" s="2" t="s">
        <v>28</v>
      </c>
      <c r="E5" s="2" t="s">
        <v>29</v>
      </c>
      <c r="F5" s="2" t="s">
        <v>30</v>
      </c>
      <c r="G5" s="4" t="s">
        <v>31</v>
      </c>
      <c r="H5" s="4" t="s">
        <v>65</v>
      </c>
      <c r="I5" s="2" t="s">
        <v>32</v>
      </c>
      <c r="J5" s="2" t="s">
        <v>26</v>
      </c>
      <c r="L5" s="5"/>
      <c r="M5" s="5"/>
      <c r="N5" s="5"/>
      <c r="O5" s="5"/>
      <c r="P5" s="5"/>
      <c r="Q5" s="5"/>
      <c r="R5" s="5"/>
      <c r="S5" s="5"/>
    </row>
    <row r="6" spans="1:28" x14ac:dyDescent="0.25">
      <c r="A6" s="2">
        <v>70</v>
      </c>
      <c r="B6" s="2">
        <v>1</v>
      </c>
      <c r="C6" s="2">
        <v>0.40947695582719179</v>
      </c>
      <c r="D6" s="2">
        <v>0.6535847528660923</v>
      </c>
      <c r="E6" s="2">
        <v>6.0380540800656144</v>
      </c>
      <c r="F6" s="2">
        <v>5.947450269957387</v>
      </c>
      <c r="G6" s="4">
        <f>AVERAGE(E6:F6)</f>
        <v>5.9927521750115007</v>
      </c>
      <c r="H6" s="4">
        <f>2.35*G6</f>
        <v>14.082967611277027</v>
      </c>
      <c r="I6" s="2">
        <v>0</v>
      </c>
      <c r="J6" s="2">
        <v>0.89758915404009054</v>
      </c>
      <c r="L6" s="5"/>
      <c r="M6" s="5"/>
      <c r="N6" s="5"/>
      <c r="O6" s="5"/>
      <c r="P6" s="5"/>
      <c r="Q6" s="5"/>
      <c r="R6" s="5"/>
      <c r="S6" s="5"/>
      <c r="U6" s="12"/>
      <c r="V6" s="12"/>
      <c r="W6" s="12"/>
      <c r="X6" s="12"/>
      <c r="Y6" s="12"/>
      <c r="Z6" s="12"/>
      <c r="AA6" s="12"/>
      <c r="AB6" s="12"/>
    </row>
    <row r="7" spans="1:28" x14ac:dyDescent="0.25">
      <c r="A7" s="2">
        <v>75</v>
      </c>
      <c r="B7" s="2">
        <v>1</v>
      </c>
      <c r="C7" s="2">
        <v>6.9835951985138429E-3</v>
      </c>
      <c r="D7" s="2">
        <v>0.69844374227156591</v>
      </c>
      <c r="E7" s="2">
        <v>5.8613896069188636</v>
      </c>
      <c r="F7" s="2">
        <v>5.8185920408437717</v>
      </c>
      <c r="G7" s="4">
        <f t="shared" ref="G7:G41" si="0">AVERAGE(E7:F7)</f>
        <v>5.8399908238813172</v>
      </c>
      <c r="H7" s="4">
        <f t="shared" ref="H7:H41" si="1">2.35*G7</f>
        <v>13.723978436121095</v>
      </c>
      <c r="I7" s="2">
        <v>0</v>
      </c>
      <c r="J7" s="2">
        <v>0.91779250853488903</v>
      </c>
      <c r="L7" s="5"/>
      <c r="M7" s="5"/>
      <c r="N7" s="5"/>
      <c r="O7" s="5"/>
      <c r="P7" s="5"/>
      <c r="Q7" s="5"/>
      <c r="R7" s="5"/>
      <c r="S7" s="5"/>
      <c r="U7" s="12"/>
      <c r="V7" s="12"/>
      <c r="W7" s="12"/>
      <c r="X7" s="12"/>
      <c r="Y7" s="12"/>
      <c r="Z7" s="12"/>
      <c r="AA7" s="12"/>
      <c r="AB7" s="12"/>
    </row>
    <row r="8" spans="1:28" x14ac:dyDescent="0.25">
      <c r="A8" s="2">
        <v>80</v>
      </c>
      <c r="B8" s="2">
        <v>1</v>
      </c>
      <c r="C8" s="2">
        <v>-0.1851596831773471</v>
      </c>
      <c r="D8" s="2">
        <v>0.28879230740575762</v>
      </c>
      <c r="E8" s="2">
        <v>5.5698653608437789</v>
      </c>
      <c r="F8" s="2">
        <v>5.5834385208731669</v>
      </c>
      <c r="G8" s="4">
        <f t="shared" si="0"/>
        <v>5.5766519408584729</v>
      </c>
      <c r="H8" s="4">
        <f t="shared" si="1"/>
        <v>13.105132061017413</v>
      </c>
      <c r="I8" s="2">
        <v>0</v>
      </c>
      <c r="J8" s="2">
        <v>0.95448713978866817</v>
      </c>
      <c r="L8" s="5"/>
      <c r="M8" s="5"/>
      <c r="N8" s="5"/>
      <c r="O8" s="5"/>
      <c r="P8" s="5"/>
      <c r="Q8" s="5"/>
      <c r="R8" s="5"/>
      <c r="S8" s="5"/>
      <c r="U8" s="12"/>
      <c r="V8" s="12"/>
      <c r="W8" s="12"/>
      <c r="X8" s="12"/>
      <c r="Y8" s="12"/>
      <c r="Z8" s="12"/>
      <c r="AA8" s="12"/>
      <c r="AB8" s="12"/>
    </row>
    <row r="9" spans="1:28" x14ac:dyDescent="0.25">
      <c r="A9" s="2">
        <v>85</v>
      </c>
      <c r="B9" s="2">
        <v>1</v>
      </c>
      <c r="C9" s="2">
        <v>0.1722326793495737</v>
      </c>
      <c r="D9" s="2">
        <v>0.1704385811909937</v>
      </c>
      <c r="E9" s="2">
        <v>5.441827755383347</v>
      </c>
      <c r="F9" s="2">
        <v>5.4651116773458819</v>
      </c>
      <c r="G9" s="4">
        <f t="shared" si="0"/>
        <v>5.453469716364614</v>
      </c>
      <c r="H9" s="4">
        <f t="shared" si="1"/>
        <v>12.815653833456844</v>
      </c>
      <c r="I9" s="2">
        <v>0</v>
      </c>
      <c r="J9" s="2">
        <v>0.98494941828801819</v>
      </c>
      <c r="L9" s="5"/>
      <c r="M9" s="5"/>
      <c r="N9" s="5"/>
      <c r="O9" s="5"/>
      <c r="P9" s="5"/>
      <c r="Q9" s="5"/>
      <c r="R9" s="5"/>
      <c r="S9" s="5"/>
      <c r="U9" s="12"/>
      <c r="V9" s="12"/>
      <c r="W9" s="12"/>
      <c r="X9" s="12"/>
      <c r="Y9" s="12"/>
      <c r="Z9" s="12"/>
      <c r="AA9" s="12"/>
      <c r="AB9" s="12"/>
    </row>
    <row r="10" spans="1:28" x14ac:dyDescent="0.25">
      <c r="A10" s="2">
        <v>90</v>
      </c>
      <c r="B10" s="2">
        <v>1</v>
      </c>
      <c r="C10" s="2">
        <v>7.4213666778526505E-2</v>
      </c>
      <c r="D10" s="2">
        <v>0.40645001321721652</v>
      </c>
      <c r="E10" s="2">
        <v>5.2837358825865346</v>
      </c>
      <c r="F10" s="2">
        <v>5.3139801743897799</v>
      </c>
      <c r="G10" s="4">
        <f t="shared" si="0"/>
        <v>5.2988580284881568</v>
      </c>
      <c r="H10" s="4">
        <f t="shared" si="1"/>
        <v>12.452316366947169</v>
      </c>
      <c r="I10" s="2">
        <v>0</v>
      </c>
      <c r="J10" s="2">
        <v>0.98834923852114032</v>
      </c>
      <c r="L10" s="5"/>
      <c r="M10" s="5"/>
      <c r="N10" s="5"/>
      <c r="O10" s="5"/>
      <c r="P10" s="5"/>
      <c r="Q10" s="5"/>
      <c r="R10" s="5"/>
      <c r="S10" s="5"/>
      <c r="U10" s="12"/>
      <c r="V10" s="12"/>
      <c r="W10" s="12"/>
      <c r="X10" s="12"/>
      <c r="Y10" s="12"/>
      <c r="Z10" s="12"/>
      <c r="AA10" s="12"/>
      <c r="AB10" s="12"/>
    </row>
    <row r="11" spans="1:28" x14ac:dyDescent="0.25">
      <c r="A11" s="2">
        <v>95</v>
      </c>
      <c r="B11" s="2">
        <v>1</v>
      </c>
      <c r="C11" s="2">
        <v>0.1385815729514587</v>
      </c>
      <c r="D11" s="2">
        <v>0.65535547755777901</v>
      </c>
      <c r="E11" s="2">
        <v>5.0710221065739631</v>
      </c>
      <c r="F11" s="2">
        <v>5.0851802804279727</v>
      </c>
      <c r="G11" s="4">
        <f t="shared" si="0"/>
        <v>5.0781011935009683</v>
      </c>
      <c r="H11" s="4">
        <f t="shared" si="1"/>
        <v>11.933537804727276</v>
      </c>
      <c r="I11" s="2">
        <v>0</v>
      </c>
      <c r="J11" s="2">
        <v>0.97783082515154041</v>
      </c>
      <c r="L11" s="5"/>
      <c r="M11" s="5"/>
      <c r="N11" s="5"/>
      <c r="O11" s="5"/>
      <c r="P11" s="5"/>
      <c r="Q11" s="5"/>
      <c r="R11" s="5"/>
      <c r="S11" s="5"/>
      <c r="U11" s="12"/>
      <c r="V11" s="12"/>
      <c r="W11" s="12"/>
      <c r="X11" s="12"/>
      <c r="Y11" s="12"/>
      <c r="Z11" s="12"/>
      <c r="AA11" s="12"/>
      <c r="AB11" s="12"/>
    </row>
    <row r="12" spans="1:28" x14ac:dyDescent="0.25">
      <c r="A12" s="2">
        <v>100</v>
      </c>
      <c r="B12" s="2">
        <v>1</v>
      </c>
      <c r="C12" s="2">
        <v>-3.557104933096851E-2</v>
      </c>
      <c r="D12" s="2">
        <v>0.39205459113006069</v>
      </c>
      <c r="E12" s="2">
        <v>4.9265756561235179</v>
      </c>
      <c r="F12" s="2">
        <v>4.9116191237375721</v>
      </c>
      <c r="G12" s="4">
        <f t="shared" si="0"/>
        <v>4.9190973899305455</v>
      </c>
      <c r="H12" s="4">
        <f t="shared" si="1"/>
        <v>11.559878866336783</v>
      </c>
      <c r="I12" s="2">
        <v>0</v>
      </c>
      <c r="J12" s="2">
        <v>0.96943907339861324</v>
      </c>
      <c r="L12" s="5"/>
      <c r="M12" s="5"/>
      <c r="N12" s="5"/>
      <c r="O12" s="5"/>
      <c r="P12" s="5"/>
      <c r="Q12" s="5"/>
      <c r="R12" s="5"/>
      <c r="S12" s="5"/>
      <c r="U12" s="12"/>
      <c r="V12" s="12"/>
      <c r="W12" s="12"/>
      <c r="X12" s="12"/>
      <c r="Y12" s="12"/>
      <c r="Z12" s="12"/>
      <c r="AA12" s="12"/>
      <c r="AB12" s="12"/>
    </row>
    <row r="13" spans="1:28" x14ac:dyDescent="0.25">
      <c r="A13" s="2">
        <v>105</v>
      </c>
      <c r="B13" s="2">
        <v>1</v>
      </c>
      <c r="C13" s="2">
        <v>7.9999076360115495E-2</v>
      </c>
      <c r="D13" s="2">
        <v>0.27040175489145368</v>
      </c>
      <c r="E13" s="2">
        <v>4.8618185466250292</v>
      </c>
      <c r="F13" s="2">
        <v>4.7854602168723721</v>
      </c>
      <c r="G13" s="4">
        <f t="shared" si="0"/>
        <v>4.8236393817487002</v>
      </c>
      <c r="H13" s="4">
        <f t="shared" si="1"/>
        <v>11.335552547109446</v>
      </c>
      <c r="I13" s="2">
        <v>0</v>
      </c>
      <c r="J13" s="2">
        <v>0.98954549998952257</v>
      </c>
      <c r="L13" s="5"/>
      <c r="M13" s="5"/>
      <c r="N13" s="5"/>
      <c r="O13" s="5"/>
      <c r="P13" s="5"/>
      <c r="Q13" s="5"/>
      <c r="R13" s="5"/>
      <c r="S13" s="5"/>
      <c r="U13" s="12"/>
      <c r="V13" s="12"/>
      <c r="W13" s="12"/>
      <c r="X13" s="12"/>
      <c r="Y13" s="12"/>
      <c r="Z13" s="12"/>
      <c r="AA13" s="12"/>
      <c r="AB13" s="12"/>
    </row>
    <row r="14" spans="1:28" x14ac:dyDescent="0.25">
      <c r="A14" s="2">
        <v>110</v>
      </c>
      <c r="B14" s="2">
        <v>1</v>
      </c>
      <c r="C14" s="2">
        <v>0.18623920862555601</v>
      </c>
      <c r="D14" s="2">
        <v>0.65290470874127771</v>
      </c>
      <c r="E14" s="2">
        <v>4.7114661093345029</v>
      </c>
      <c r="F14" s="2">
        <v>4.6105239868893451</v>
      </c>
      <c r="G14" s="4">
        <f t="shared" si="0"/>
        <v>4.660995048111924</v>
      </c>
      <c r="H14" s="4">
        <f t="shared" si="1"/>
        <v>10.953338363063022</v>
      </c>
      <c r="I14" s="2">
        <v>0</v>
      </c>
      <c r="J14" s="2">
        <v>0.85245968483265055</v>
      </c>
      <c r="L14" s="5"/>
      <c r="M14" s="5"/>
      <c r="N14" s="5"/>
      <c r="O14" s="5"/>
      <c r="P14" s="5"/>
      <c r="Q14" s="5"/>
      <c r="R14" s="5"/>
      <c r="S14" s="5"/>
      <c r="U14" s="12"/>
      <c r="V14" s="12"/>
      <c r="W14" s="12"/>
      <c r="X14" s="12"/>
      <c r="Y14" s="12"/>
      <c r="Z14" s="12"/>
      <c r="AA14" s="12"/>
      <c r="AB14" s="12"/>
    </row>
    <row r="15" spans="1:28" x14ac:dyDescent="0.25">
      <c r="A15" s="2">
        <v>115</v>
      </c>
      <c r="B15" s="2">
        <v>1</v>
      </c>
      <c r="C15" s="2">
        <v>-2.178912632075514E-2</v>
      </c>
      <c r="D15" s="2">
        <v>0.1238795903997616</v>
      </c>
      <c r="E15" s="2">
        <v>4.6688516363939581</v>
      </c>
      <c r="F15" s="2">
        <v>4.5128973805256294</v>
      </c>
      <c r="G15" s="4">
        <f t="shared" si="0"/>
        <v>4.5908745084597937</v>
      </c>
      <c r="H15" s="4">
        <f t="shared" si="1"/>
        <v>10.788555094880516</v>
      </c>
      <c r="I15" s="2">
        <v>0</v>
      </c>
      <c r="J15" s="2">
        <v>0.99496577723313429</v>
      </c>
      <c r="L15" s="5"/>
      <c r="M15" s="5"/>
      <c r="N15" s="5"/>
      <c r="O15" s="5"/>
      <c r="P15" s="5"/>
      <c r="Q15" s="5"/>
      <c r="R15" s="5"/>
      <c r="S15" s="5"/>
      <c r="U15" s="12"/>
      <c r="V15" s="12"/>
      <c r="W15" s="12"/>
      <c r="X15" s="12"/>
      <c r="Y15" s="12"/>
      <c r="Z15" s="12"/>
      <c r="AA15" s="12"/>
      <c r="AB15" s="12"/>
    </row>
    <row r="16" spans="1:28" x14ac:dyDescent="0.25">
      <c r="A16" s="2">
        <v>120</v>
      </c>
      <c r="B16" s="2">
        <v>1</v>
      </c>
      <c r="C16" s="2">
        <v>3.1423630312038063E-2</v>
      </c>
      <c r="D16" s="2">
        <v>0.26485680022640529</v>
      </c>
      <c r="E16" s="2">
        <v>4.5621660518553151</v>
      </c>
      <c r="F16" s="2">
        <v>4.3927457058367327</v>
      </c>
      <c r="G16" s="4">
        <f t="shared" si="0"/>
        <v>4.4774558788460244</v>
      </c>
      <c r="H16" s="4">
        <f t="shared" si="1"/>
        <v>10.522021315288157</v>
      </c>
      <c r="I16" s="2">
        <v>0</v>
      </c>
      <c r="J16" s="2">
        <v>0.99565593206114578</v>
      </c>
      <c r="L16" s="5"/>
      <c r="M16" s="5"/>
      <c r="N16" s="5"/>
      <c r="O16" s="5"/>
      <c r="P16" s="5"/>
      <c r="Q16" s="5"/>
      <c r="R16" s="5"/>
      <c r="S16" s="5"/>
      <c r="U16" s="12"/>
      <c r="V16" s="12"/>
      <c r="W16" s="12"/>
      <c r="X16" s="12"/>
      <c r="Y16" s="12"/>
      <c r="Z16" s="12"/>
      <c r="AA16" s="12"/>
      <c r="AB16" s="12"/>
    </row>
    <row r="17" spans="1:28" x14ac:dyDescent="0.25">
      <c r="A17" s="2">
        <v>125</v>
      </c>
      <c r="B17" s="2">
        <v>0.99999999999980516</v>
      </c>
      <c r="C17" s="2">
        <v>-0.1184490700458698</v>
      </c>
      <c r="D17" s="2">
        <v>0.1198617704444363</v>
      </c>
      <c r="E17" s="2">
        <v>4.4940829925998784</v>
      </c>
      <c r="F17" s="2">
        <v>4.3037412281046148</v>
      </c>
      <c r="G17" s="4">
        <f t="shared" si="0"/>
        <v>4.3989121103522466</v>
      </c>
      <c r="H17" s="4">
        <f t="shared" si="1"/>
        <v>10.33744345932778</v>
      </c>
      <c r="I17" s="2">
        <v>0</v>
      </c>
      <c r="J17" s="2">
        <v>0.99751089126807746</v>
      </c>
      <c r="L17" s="5"/>
      <c r="M17" s="5"/>
      <c r="N17" s="5"/>
      <c r="O17" s="5"/>
      <c r="P17" s="5"/>
      <c r="Q17" s="5"/>
      <c r="R17" s="5"/>
      <c r="S17" s="5"/>
      <c r="U17" s="12"/>
      <c r="V17" s="12"/>
      <c r="W17" s="12"/>
      <c r="X17" s="12"/>
      <c r="Y17" s="12"/>
      <c r="Z17" s="12"/>
      <c r="AA17" s="12"/>
      <c r="AB17" s="12"/>
    </row>
    <row r="18" spans="1:28" x14ac:dyDescent="0.25">
      <c r="A18" s="2">
        <v>130</v>
      </c>
      <c r="B18" s="2">
        <v>0.99999999999317624</v>
      </c>
      <c r="C18" s="2">
        <v>-0.10675274651931189</v>
      </c>
      <c r="D18" s="2">
        <v>0.34691501119853851</v>
      </c>
      <c r="E18" s="2">
        <v>4.3407842479321896</v>
      </c>
      <c r="F18" s="2">
        <v>4.157436123784958</v>
      </c>
      <c r="G18" s="4">
        <f t="shared" si="0"/>
        <v>4.2491101858585738</v>
      </c>
      <c r="H18" s="4">
        <f t="shared" si="1"/>
        <v>9.985408936767648</v>
      </c>
      <c r="I18" s="2">
        <v>0</v>
      </c>
      <c r="J18" s="2">
        <v>0.88959701558941895</v>
      </c>
      <c r="L18" s="5"/>
      <c r="M18" s="5"/>
      <c r="N18" s="5"/>
      <c r="O18" s="5"/>
      <c r="P18" s="5"/>
      <c r="Q18" s="5"/>
      <c r="R18" s="5"/>
      <c r="S18" s="5"/>
      <c r="U18" s="12"/>
      <c r="V18" s="12"/>
      <c r="W18" s="12"/>
      <c r="X18" s="12"/>
      <c r="Y18" s="12"/>
      <c r="Z18" s="12"/>
      <c r="AA18" s="12"/>
      <c r="AB18" s="12"/>
    </row>
    <row r="19" spans="1:28" x14ac:dyDescent="0.25">
      <c r="A19" s="2">
        <v>135</v>
      </c>
      <c r="B19" s="2">
        <v>0.99779689365150326</v>
      </c>
      <c r="C19" s="2">
        <v>-6.9195038125966765E-2</v>
      </c>
      <c r="D19" s="2">
        <v>0.35844233909736972</v>
      </c>
      <c r="E19" s="2">
        <v>4.2973470824452056</v>
      </c>
      <c r="F19" s="2">
        <v>4.1026313998521502</v>
      </c>
      <c r="G19" s="4">
        <f t="shared" si="0"/>
        <v>4.1999892411486783</v>
      </c>
      <c r="H19" s="4">
        <f t="shared" si="1"/>
        <v>9.8699747166993941</v>
      </c>
      <c r="I19" s="2">
        <v>0</v>
      </c>
      <c r="J19" s="2">
        <v>0.87406775523493285</v>
      </c>
      <c r="L19" s="5"/>
      <c r="M19" s="5"/>
      <c r="N19" s="5"/>
      <c r="O19" s="5"/>
      <c r="P19" s="5"/>
      <c r="Q19" s="5"/>
      <c r="R19" s="5"/>
      <c r="S19" s="5"/>
      <c r="U19" s="12"/>
      <c r="V19" s="12"/>
      <c r="W19" s="12"/>
      <c r="X19" s="12"/>
      <c r="Y19" s="12"/>
      <c r="Z19" s="12"/>
      <c r="AA19" s="12"/>
      <c r="AB19" s="12"/>
    </row>
    <row r="20" spans="1:28" x14ac:dyDescent="0.25">
      <c r="A20" s="2">
        <v>140</v>
      </c>
      <c r="B20" s="2">
        <v>0.99999999999852085</v>
      </c>
      <c r="C20" s="2">
        <v>-3.1323472942858407E-2</v>
      </c>
      <c r="D20" s="2">
        <v>9.3678381594414203E-2</v>
      </c>
      <c r="E20" s="2">
        <v>4.2679128614705144</v>
      </c>
      <c r="F20" s="2">
        <v>4.067336770158855</v>
      </c>
      <c r="G20" s="4">
        <f t="shared" si="0"/>
        <v>4.1676248158146851</v>
      </c>
      <c r="H20" s="4">
        <f t="shared" si="1"/>
        <v>9.7939183171645112</v>
      </c>
      <c r="I20" s="2">
        <v>0</v>
      </c>
      <c r="J20" s="2">
        <v>0.99903224769017296</v>
      </c>
      <c r="L20" s="5"/>
      <c r="M20" s="5"/>
      <c r="N20" s="5"/>
      <c r="O20" s="5"/>
      <c r="P20" s="5"/>
      <c r="Q20" s="5"/>
      <c r="R20" s="5"/>
      <c r="S20" s="5"/>
      <c r="U20" s="12"/>
      <c r="V20" s="12"/>
      <c r="W20" s="12"/>
      <c r="X20" s="12"/>
      <c r="Y20" s="12"/>
      <c r="Z20" s="12"/>
      <c r="AA20" s="12"/>
      <c r="AB20" s="12"/>
    </row>
    <row r="21" spans="1:28" x14ac:dyDescent="0.25">
      <c r="A21" s="2">
        <v>145</v>
      </c>
      <c r="B21" s="2">
        <v>0.99999999999949196</v>
      </c>
      <c r="C21" s="2">
        <v>-0.22924194766292311</v>
      </c>
      <c r="D21" s="2">
        <v>4.4734745930479249E-2</v>
      </c>
      <c r="E21" s="2">
        <v>4.1692414170733336</v>
      </c>
      <c r="F21" s="2">
        <v>3.9860516579313772</v>
      </c>
      <c r="G21" s="4">
        <f t="shared" si="0"/>
        <v>4.0776465375023552</v>
      </c>
      <c r="H21" s="4">
        <f t="shared" si="1"/>
        <v>9.5824693631305351</v>
      </c>
      <c r="I21" s="2">
        <v>0</v>
      </c>
      <c r="J21" s="2">
        <v>0.99875348645734363</v>
      </c>
      <c r="L21" s="5"/>
      <c r="M21" s="5"/>
      <c r="N21" s="5"/>
      <c r="O21" s="5"/>
      <c r="P21" s="5"/>
      <c r="Q21" s="5"/>
      <c r="R21" s="5"/>
      <c r="S21" s="5"/>
      <c r="U21" s="12"/>
      <c r="V21" s="12"/>
      <c r="W21" s="12"/>
      <c r="X21" s="12"/>
      <c r="Y21" s="12"/>
      <c r="Z21" s="12"/>
      <c r="AA21" s="12"/>
      <c r="AB21" s="12"/>
    </row>
    <row r="22" spans="1:28" x14ac:dyDescent="0.25">
      <c r="A22" s="2">
        <v>150</v>
      </c>
      <c r="B22" s="2">
        <v>0.99999999999967926</v>
      </c>
      <c r="C22" s="2">
        <v>-0.1051878016672175</v>
      </c>
      <c r="D22" s="2">
        <v>0.29651321012408072</v>
      </c>
      <c r="E22" s="2">
        <v>4.0853563945499847</v>
      </c>
      <c r="F22" s="2">
        <v>3.924491251542741</v>
      </c>
      <c r="G22" s="4">
        <f t="shared" si="0"/>
        <v>4.0049238230463633</v>
      </c>
      <c r="H22" s="4">
        <f t="shared" si="1"/>
        <v>9.4115709841589545</v>
      </c>
      <c r="I22" s="2">
        <v>0</v>
      </c>
      <c r="J22" s="2">
        <v>0.89436400352692746</v>
      </c>
      <c r="L22" s="5"/>
      <c r="M22" s="5"/>
      <c r="N22" s="5"/>
      <c r="O22" s="5"/>
      <c r="P22" s="5"/>
      <c r="Q22" s="5"/>
      <c r="R22" s="5"/>
      <c r="S22" s="5"/>
      <c r="U22" s="12"/>
      <c r="V22" s="12"/>
      <c r="W22" s="12"/>
      <c r="X22" s="12"/>
      <c r="Y22" s="12"/>
      <c r="Z22" s="12"/>
      <c r="AA22" s="12"/>
      <c r="AB22" s="12"/>
    </row>
    <row r="23" spans="1:28" x14ac:dyDescent="0.25">
      <c r="A23" s="2">
        <v>155</v>
      </c>
      <c r="B23" s="2">
        <v>1</v>
      </c>
      <c r="C23" s="2">
        <v>-5.970687274687337E-2</v>
      </c>
      <c r="D23" s="2">
        <v>0.32293039771002058</v>
      </c>
      <c r="E23" s="2">
        <v>4.0344374910595251</v>
      </c>
      <c r="F23" s="2">
        <v>3.8748329544756812</v>
      </c>
      <c r="G23" s="4">
        <f t="shared" si="0"/>
        <v>3.9546352227676032</v>
      </c>
      <c r="H23" s="4">
        <f t="shared" si="1"/>
        <v>9.2933927735038679</v>
      </c>
      <c r="I23" s="2">
        <v>0</v>
      </c>
      <c r="J23" s="2">
        <v>0.9991076291713209</v>
      </c>
      <c r="L23" s="5"/>
      <c r="M23" s="5"/>
      <c r="N23" s="5"/>
      <c r="O23" s="5"/>
      <c r="P23" s="5"/>
      <c r="Q23" s="5"/>
      <c r="R23" s="5"/>
      <c r="S23" s="5"/>
      <c r="U23" s="12"/>
      <c r="V23" s="12"/>
      <c r="W23" s="12"/>
      <c r="X23" s="12"/>
      <c r="Y23" s="12"/>
      <c r="Z23" s="12"/>
      <c r="AA23" s="12"/>
      <c r="AB23" s="12"/>
    </row>
    <row r="24" spans="1:28" x14ac:dyDescent="0.25">
      <c r="A24" s="2">
        <v>160</v>
      </c>
      <c r="B24" s="2">
        <v>1</v>
      </c>
      <c r="C24" s="2">
        <v>-3.5588478066786833E-2</v>
      </c>
      <c r="D24" s="2">
        <v>0.32220984160225208</v>
      </c>
      <c r="E24" s="2">
        <v>3.9635963639618201</v>
      </c>
      <c r="F24" s="2">
        <v>3.8244056391162249</v>
      </c>
      <c r="G24" s="4">
        <f t="shared" si="0"/>
        <v>3.8940010015390225</v>
      </c>
      <c r="H24" s="4">
        <f t="shared" si="1"/>
        <v>9.1509023536167025</v>
      </c>
      <c r="I24" s="2">
        <v>0</v>
      </c>
      <c r="J24" s="2">
        <v>0.99931206090139812</v>
      </c>
      <c r="L24" s="5"/>
      <c r="M24" s="5"/>
      <c r="N24" s="5"/>
      <c r="O24" s="5"/>
      <c r="P24" s="5"/>
      <c r="Q24" s="5"/>
      <c r="R24" s="5"/>
      <c r="S24" s="5"/>
      <c r="U24" s="12"/>
      <c r="V24" s="12"/>
      <c r="W24" s="12"/>
      <c r="X24" s="12"/>
      <c r="Y24" s="12"/>
      <c r="Z24" s="12"/>
      <c r="AA24" s="12"/>
      <c r="AB24" s="12"/>
    </row>
    <row r="25" spans="1:28" x14ac:dyDescent="0.25">
      <c r="A25" s="2">
        <v>165</v>
      </c>
      <c r="B25" s="2">
        <v>1</v>
      </c>
      <c r="C25" s="2">
        <v>-4.9525501249448108E-2</v>
      </c>
      <c r="D25" s="2">
        <v>0.29693103162305301</v>
      </c>
      <c r="E25" s="2">
        <v>3.8912837124657078</v>
      </c>
      <c r="F25" s="2">
        <v>3.7718626476862118</v>
      </c>
      <c r="G25" s="4">
        <f t="shared" si="0"/>
        <v>3.83157318007596</v>
      </c>
      <c r="H25" s="4">
        <f t="shared" si="1"/>
        <v>9.004196973178507</v>
      </c>
      <c r="I25" s="2">
        <v>0</v>
      </c>
      <c r="J25" s="2">
        <v>0.99922036699091343</v>
      </c>
      <c r="L25" s="5"/>
      <c r="M25" s="5"/>
      <c r="N25" s="5"/>
      <c r="O25" s="5"/>
      <c r="P25" s="5"/>
      <c r="Q25" s="5"/>
      <c r="R25" s="5"/>
      <c r="S25" s="5"/>
      <c r="U25" s="12"/>
      <c r="V25" s="12"/>
      <c r="W25" s="12"/>
      <c r="X25" s="12"/>
      <c r="Y25" s="12"/>
      <c r="Z25" s="12"/>
      <c r="AA25" s="12"/>
      <c r="AB25" s="12"/>
    </row>
    <row r="26" spans="1:28" x14ac:dyDescent="0.25">
      <c r="A26" s="2">
        <v>170</v>
      </c>
      <c r="B26" s="2">
        <v>1</v>
      </c>
      <c r="C26" s="2">
        <v>-6.526689181964597E-2</v>
      </c>
      <c r="D26" s="2">
        <v>0.42570281331768778</v>
      </c>
      <c r="E26" s="2">
        <v>3.8314171140826319</v>
      </c>
      <c r="F26" s="2">
        <v>3.7292981944537851</v>
      </c>
      <c r="G26" s="4">
        <f t="shared" si="0"/>
        <v>3.7803576542682085</v>
      </c>
      <c r="H26" s="4">
        <f t="shared" si="1"/>
        <v>8.883840487530291</v>
      </c>
      <c r="I26" s="2">
        <v>0</v>
      </c>
      <c r="J26" s="2">
        <v>0.99928218102094646</v>
      </c>
      <c r="L26" s="5"/>
      <c r="M26" s="5"/>
      <c r="N26" s="5"/>
      <c r="O26" s="5"/>
      <c r="P26" s="5"/>
      <c r="Q26" s="5"/>
      <c r="R26" s="5"/>
      <c r="S26" s="5"/>
      <c r="U26" s="12"/>
      <c r="V26" s="12"/>
      <c r="W26" s="12"/>
      <c r="X26" s="12"/>
      <c r="Y26" s="12"/>
      <c r="Z26" s="12"/>
      <c r="AA26" s="12"/>
      <c r="AB26" s="12"/>
    </row>
    <row r="27" spans="1:28" x14ac:dyDescent="0.25">
      <c r="A27" s="2">
        <v>175</v>
      </c>
      <c r="B27" s="2">
        <v>1</v>
      </c>
      <c r="C27" s="2">
        <v>-6.3436806286649482E-3</v>
      </c>
      <c r="D27" s="2">
        <v>0.2113770752270602</v>
      </c>
      <c r="E27" s="2">
        <v>3.7801911876941858</v>
      </c>
      <c r="F27" s="2">
        <v>3.6836775264340251</v>
      </c>
      <c r="G27" s="4">
        <f t="shared" si="0"/>
        <v>3.7319343570641053</v>
      </c>
      <c r="H27" s="4">
        <f t="shared" si="1"/>
        <v>8.770045739100647</v>
      </c>
      <c r="I27" s="2">
        <v>0</v>
      </c>
      <c r="J27" s="2">
        <v>0.99936264790213636</v>
      </c>
      <c r="L27" s="5"/>
      <c r="M27" s="5"/>
      <c r="N27" s="5"/>
      <c r="O27" s="5"/>
      <c r="P27" s="5"/>
      <c r="Q27" s="5"/>
      <c r="R27" s="5"/>
      <c r="S27" s="5"/>
      <c r="U27" s="12"/>
      <c r="V27" s="12"/>
      <c r="W27" s="12"/>
      <c r="X27" s="12"/>
      <c r="Y27" s="12"/>
      <c r="Z27" s="12"/>
      <c r="AA27" s="12"/>
      <c r="AB27" s="12"/>
    </row>
    <row r="28" spans="1:28" x14ac:dyDescent="0.25">
      <c r="A28" s="2">
        <v>180</v>
      </c>
      <c r="B28" s="2">
        <v>1</v>
      </c>
      <c r="C28" s="2">
        <v>8.3482031663251841E-2</v>
      </c>
      <c r="D28" s="2">
        <v>2.471386196857853E-2</v>
      </c>
      <c r="E28" s="2">
        <v>3.734562034204401</v>
      </c>
      <c r="F28" s="2">
        <v>3.6459933828968212</v>
      </c>
      <c r="G28" s="4">
        <f t="shared" si="0"/>
        <v>3.6902777085506111</v>
      </c>
      <c r="H28" s="4">
        <f t="shared" si="1"/>
        <v>8.6721526150939372</v>
      </c>
      <c r="I28" s="2">
        <v>0</v>
      </c>
      <c r="J28" s="2">
        <v>0.99961736808342927</v>
      </c>
      <c r="L28" s="5"/>
      <c r="M28" s="5"/>
      <c r="N28" s="5"/>
      <c r="O28" s="5"/>
      <c r="P28" s="5"/>
      <c r="Q28" s="5"/>
      <c r="R28" s="5"/>
      <c r="S28" s="5"/>
      <c r="U28" s="12"/>
      <c r="V28" s="12"/>
      <c r="W28" s="12"/>
      <c r="X28" s="12"/>
      <c r="Y28" s="12"/>
      <c r="Z28" s="12"/>
      <c r="AA28" s="12"/>
      <c r="AB28" s="12"/>
    </row>
    <row r="29" spans="1:28" x14ac:dyDescent="0.25">
      <c r="A29" s="2">
        <v>185</v>
      </c>
      <c r="B29" s="2">
        <v>1</v>
      </c>
      <c r="C29" s="2">
        <v>-3.9720454561919763E-2</v>
      </c>
      <c r="D29" s="2">
        <v>0.13398261659296079</v>
      </c>
      <c r="E29" s="2">
        <v>3.690676177200872</v>
      </c>
      <c r="F29" s="2">
        <v>3.5944648991601138</v>
      </c>
      <c r="G29" s="4">
        <f t="shared" si="0"/>
        <v>3.6425705381804931</v>
      </c>
      <c r="H29" s="4">
        <f t="shared" si="1"/>
        <v>8.5600407647241585</v>
      </c>
      <c r="I29" s="2">
        <v>0</v>
      </c>
      <c r="J29" s="2">
        <v>0.99999999986448407</v>
      </c>
      <c r="L29" s="5"/>
      <c r="M29" s="5"/>
      <c r="N29" s="5"/>
      <c r="O29" s="5"/>
      <c r="P29" s="5"/>
      <c r="Q29" s="5"/>
      <c r="R29" s="5"/>
      <c r="S29" s="5"/>
      <c r="U29" s="12"/>
      <c r="V29" s="12"/>
      <c r="W29" s="12"/>
      <c r="X29" s="12"/>
      <c r="Y29" s="12"/>
      <c r="Z29" s="12"/>
      <c r="AA29" s="12"/>
      <c r="AB29" s="12"/>
    </row>
    <row r="30" spans="1:28" x14ac:dyDescent="0.25">
      <c r="A30" s="2">
        <v>190</v>
      </c>
      <c r="B30" s="2">
        <v>1</v>
      </c>
      <c r="C30" s="2">
        <v>-6.3720445186261285E-2</v>
      </c>
      <c r="D30" s="2">
        <v>7.2599644116902076E-2</v>
      </c>
      <c r="E30" s="2">
        <v>3.58282202791816</v>
      </c>
      <c r="F30" s="2">
        <v>3.503880071197353</v>
      </c>
      <c r="G30" s="4">
        <f t="shared" si="0"/>
        <v>3.5433510495577565</v>
      </c>
      <c r="H30" s="4">
        <f t="shared" si="1"/>
        <v>8.3268749664607284</v>
      </c>
      <c r="I30" s="2">
        <v>0</v>
      </c>
      <c r="J30" s="2">
        <v>0.99999999998711575</v>
      </c>
      <c r="L30" s="5"/>
      <c r="M30" s="5"/>
      <c r="N30" s="5"/>
      <c r="O30" s="5"/>
      <c r="P30" s="5"/>
      <c r="Q30" s="5"/>
      <c r="R30" s="5"/>
      <c r="S30" s="5"/>
      <c r="U30" s="12"/>
      <c r="V30" s="12"/>
      <c r="W30" s="12"/>
      <c r="X30" s="12"/>
      <c r="Y30" s="12"/>
      <c r="Z30" s="12"/>
      <c r="AA30" s="12"/>
      <c r="AB30" s="12"/>
    </row>
    <row r="31" spans="1:28" x14ac:dyDescent="0.25">
      <c r="A31" s="2">
        <v>195</v>
      </c>
      <c r="B31" s="2">
        <v>1</v>
      </c>
      <c r="C31" s="2">
        <v>-3.6377921157573538E-2</v>
      </c>
      <c r="D31" s="2">
        <v>1.8965744598584609E-2</v>
      </c>
      <c r="E31" s="2">
        <v>3.5681028580550751</v>
      </c>
      <c r="F31" s="2">
        <v>3.4521298808777239</v>
      </c>
      <c r="G31" s="4">
        <f t="shared" si="0"/>
        <v>3.5101163694663997</v>
      </c>
      <c r="H31" s="4">
        <f t="shared" si="1"/>
        <v>8.2487734682460392</v>
      </c>
      <c r="I31" s="2">
        <v>0</v>
      </c>
      <c r="J31" s="2">
        <v>0.99909240035007918</v>
      </c>
      <c r="L31" s="5"/>
      <c r="M31" s="5"/>
      <c r="N31" s="5"/>
      <c r="O31" s="5"/>
      <c r="P31" s="5"/>
      <c r="Q31" s="5"/>
      <c r="R31" s="5"/>
      <c r="S31" s="5"/>
      <c r="U31" s="12"/>
      <c r="V31" s="12"/>
      <c r="W31" s="12"/>
      <c r="X31" s="12"/>
      <c r="Y31" s="12"/>
      <c r="Z31" s="12"/>
      <c r="AA31" s="12"/>
      <c r="AB31" s="12"/>
    </row>
    <row r="32" spans="1:28" x14ac:dyDescent="0.25">
      <c r="A32" s="2">
        <v>200</v>
      </c>
      <c r="B32" s="2">
        <v>1</v>
      </c>
      <c r="C32" s="2">
        <v>-4.0934428554092968E-2</v>
      </c>
      <c r="D32" s="2">
        <v>0.23898585570194431</v>
      </c>
      <c r="E32" s="2">
        <v>3.57841743319507</v>
      </c>
      <c r="F32" s="2">
        <v>3.4404753295954968</v>
      </c>
      <c r="G32" s="4">
        <f t="shared" si="0"/>
        <v>3.5094463813952834</v>
      </c>
      <c r="H32" s="4">
        <f t="shared" si="1"/>
        <v>8.2471989962789163</v>
      </c>
      <c r="I32" s="2">
        <v>0</v>
      </c>
      <c r="J32" s="2">
        <v>0.99984632390245243</v>
      </c>
      <c r="L32" s="5"/>
      <c r="M32" s="5"/>
      <c r="N32" s="5"/>
      <c r="O32" s="5"/>
      <c r="P32" s="5"/>
      <c r="Q32" s="5"/>
      <c r="R32" s="5"/>
      <c r="S32" s="5"/>
      <c r="U32" s="12"/>
      <c r="V32" s="12"/>
      <c r="W32" s="12"/>
      <c r="X32" s="12"/>
      <c r="Y32" s="12"/>
      <c r="Z32" s="12"/>
      <c r="AA32" s="12"/>
      <c r="AB32" s="12"/>
    </row>
    <row r="33" spans="1:28" x14ac:dyDescent="0.25">
      <c r="A33" s="2">
        <v>205</v>
      </c>
      <c r="B33" s="2">
        <v>1</v>
      </c>
      <c r="C33" s="2">
        <v>4.1657306643412793E-2</v>
      </c>
      <c r="D33" s="2">
        <v>2.4422854061033141E-2</v>
      </c>
      <c r="E33" s="2">
        <v>3.5526110406029892</v>
      </c>
      <c r="F33" s="2">
        <v>3.381777549731821</v>
      </c>
      <c r="G33" s="4">
        <f t="shared" si="0"/>
        <v>3.4671942951674053</v>
      </c>
      <c r="H33" s="4">
        <f t="shared" si="1"/>
        <v>8.1479065936434019</v>
      </c>
      <c r="I33" s="2">
        <v>0</v>
      </c>
      <c r="J33" s="2">
        <v>0.99999892928998735</v>
      </c>
      <c r="L33" s="5"/>
      <c r="M33" s="5"/>
      <c r="N33" s="5"/>
      <c r="O33" s="5"/>
      <c r="P33" s="5"/>
      <c r="Q33" s="5"/>
      <c r="R33" s="5"/>
      <c r="S33" s="5"/>
      <c r="U33" s="12"/>
      <c r="V33" s="12"/>
      <c r="W33" s="12"/>
      <c r="X33" s="12"/>
      <c r="Y33" s="12"/>
      <c r="Z33" s="12"/>
      <c r="AA33" s="12"/>
      <c r="AB33" s="12"/>
    </row>
    <row r="34" spans="1:28" x14ac:dyDescent="0.25">
      <c r="A34" s="2">
        <v>210</v>
      </c>
      <c r="B34" s="2">
        <v>1</v>
      </c>
      <c r="C34" s="2">
        <v>7.4267940318687137E-2</v>
      </c>
      <c r="D34" s="2">
        <v>0.24353295925289831</v>
      </c>
      <c r="E34" s="2">
        <v>3.539108564214358</v>
      </c>
      <c r="F34" s="2">
        <v>3.3430600278406502</v>
      </c>
      <c r="G34" s="4">
        <f t="shared" si="0"/>
        <v>3.4410842960275039</v>
      </c>
      <c r="H34" s="4">
        <f t="shared" si="1"/>
        <v>8.0865480956646341</v>
      </c>
      <c r="I34" s="2">
        <v>0</v>
      </c>
      <c r="J34" s="2">
        <v>0.99978065040831843</v>
      </c>
      <c r="L34" s="5"/>
      <c r="M34" s="5"/>
      <c r="N34" s="5"/>
      <c r="O34" s="5"/>
      <c r="P34" s="5"/>
      <c r="Q34" s="5"/>
      <c r="R34" s="5"/>
      <c r="S34" s="5"/>
      <c r="U34" s="12"/>
      <c r="V34" s="12"/>
      <c r="W34" s="12"/>
      <c r="X34" s="12"/>
      <c r="Y34" s="12"/>
      <c r="Z34" s="12"/>
      <c r="AA34" s="12"/>
      <c r="AB34" s="12"/>
    </row>
    <row r="35" spans="1:28" x14ac:dyDescent="0.25">
      <c r="A35" s="2">
        <v>215</v>
      </c>
      <c r="B35" s="2">
        <v>1</v>
      </c>
      <c r="C35" s="2">
        <v>-0.1621293245317656</v>
      </c>
      <c r="D35" s="2">
        <v>2.7366303041595489E-2</v>
      </c>
      <c r="E35" s="2">
        <v>3.501710546742077</v>
      </c>
      <c r="F35" s="2">
        <v>3.2888249287146758</v>
      </c>
      <c r="G35" s="4">
        <f t="shared" si="0"/>
        <v>3.3952677377283766</v>
      </c>
      <c r="H35" s="4">
        <f t="shared" si="1"/>
        <v>7.978879183661685</v>
      </c>
      <c r="I35" s="2">
        <v>0</v>
      </c>
      <c r="J35" s="2">
        <v>0.99928791861162214</v>
      </c>
      <c r="L35" s="5"/>
      <c r="M35" s="5"/>
      <c r="N35" s="5"/>
      <c r="O35" s="5"/>
      <c r="P35" s="5"/>
      <c r="Q35" s="5"/>
      <c r="R35" s="5"/>
      <c r="S35" s="5"/>
      <c r="U35" s="12"/>
      <c r="V35" s="12"/>
      <c r="W35" s="12"/>
      <c r="X35" s="12"/>
      <c r="Y35" s="12"/>
      <c r="Z35" s="12"/>
      <c r="AA35" s="12"/>
      <c r="AB35" s="12"/>
    </row>
    <row r="36" spans="1:28" x14ac:dyDescent="0.25">
      <c r="A36" s="2">
        <v>220</v>
      </c>
      <c r="B36" s="2">
        <v>1</v>
      </c>
      <c r="C36" s="2">
        <v>-0.19920717028912521</v>
      </c>
      <c r="D36" s="2">
        <v>0.1229220279338937</v>
      </c>
      <c r="E36" s="2">
        <v>3.4759012413941339</v>
      </c>
      <c r="F36" s="2">
        <v>3.2447125001569082</v>
      </c>
      <c r="G36" s="4">
        <f t="shared" si="0"/>
        <v>3.360306870775521</v>
      </c>
      <c r="H36" s="4">
        <f t="shared" si="1"/>
        <v>7.8967211463224745</v>
      </c>
      <c r="I36" s="2">
        <v>0</v>
      </c>
      <c r="J36" s="2">
        <v>0.99926097069365027</v>
      </c>
      <c r="L36" s="5"/>
      <c r="M36" s="5"/>
      <c r="N36" s="5"/>
      <c r="O36" s="5"/>
      <c r="P36" s="5"/>
      <c r="Q36" s="5"/>
      <c r="R36" s="5"/>
      <c r="S36" s="5"/>
      <c r="U36" s="12"/>
      <c r="V36" s="12"/>
      <c r="W36" s="12"/>
      <c r="X36" s="12"/>
      <c r="Y36" s="12"/>
      <c r="Z36" s="12"/>
      <c r="AA36" s="12"/>
      <c r="AB36" s="12"/>
    </row>
    <row r="37" spans="1:28" x14ac:dyDescent="0.25">
      <c r="A37" s="2">
        <v>225</v>
      </c>
      <c r="B37" s="2">
        <v>1</v>
      </c>
      <c r="C37" s="2">
        <v>0.1914346049364001</v>
      </c>
      <c r="D37" s="2">
        <v>8.4365945836349626E-2</v>
      </c>
      <c r="E37" s="2">
        <v>3.4510947791099138</v>
      </c>
      <c r="F37" s="2">
        <v>3.2133414201838519</v>
      </c>
      <c r="G37" s="4">
        <f t="shared" si="0"/>
        <v>3.3322180996468829</v>
      </c>
      <c r="H37" s="4">
        <f t="shared" si="1"/>
        <v>7.8307125341701749</v>
      </c>
      <c r="I37" s="2">
        <v>0</v>
      </c>
      <c r="J37" s="2">
        <v>0.99873870172653134</v>
      </c>
      <c r="L37" s="5"/>
      <c r="M37" s="5"/>
      <c r="N37" s="5"/>
      <c r="O37" s="5"/>
      <c r="P37" s="5"/>
      <c r="Q37" s="5"/>
      <c r="R37" s="5"/>
      <c r="S37" s="5"/>
      <c r="U37" s="12"/>
      <c r="V37" s="12"/>
      <c r="W37" s="12"/>
      <c r="X37" s="12"/>
      <c r="Y37" s="12"/>
      <c r="Z37" s="12"/>
      <c r="AA37" s="12"/>
      <c r="AB37" s="12"/>
    </row>
    <row r="38" spans="1:28" x14ac:dyDescent="0.25">
      <c r="A38" s="2">
        <v>230</v>
      </c>
      <c r="B38" s="2">
        <v>1</v>
      </c>
      <c r="C38" s="2">
        <v>8.32045467004357E-2</v>
      </c>
      <c r="D38" s="2">
        <v>0.16982864970302439</v>
      </c>
      <c r="E38" s="2">
        <v>3.426261256569664</v>
      </c>
      <c r="F38" s="2">
        <v>3.2074002676487119</v>
      </c>
      <c r="G38" s="4">
        <f t="shared" si="0"/>
        <v>3.3168307621091877</v>
      </c>
      <c r="H38" s="4">
        <f t="shared" si="1"/>
        <v>7.7945522909565916</v>
      </c>
      <c r="I38" s="2">
        <v>0</v>
      </c>
      <c r="J38" s="2">
        <v>0.99890458183772624</v>
      </c>
      <c r="L38" s="5"/>
      <c r="M38" s="5"/>
      <c r="N38" s="5"/>
      <c r="O38" s="5"/>
      <c r="P38" s="5"/>
      <c r="Q38" s="5"/>
      <c r="R38" s="5"/>
      <c r="S38" s="5"/>
      <c r="U38" s="12"/>
      <c r="V38" s="12"/>
      <c r="W38" s="12"/>
      <c r="X38" s="12"/>
      <c r="Y38" s="12"/>
      <c r="Z38" s="12"/>
      <c r="AA38" s="12"/>
      <c r="AB38" s="12"/>
    </row>
    <row r="39" spans="1:28" x14ac:dyDescent="0.25">
      <c r="A39" s="2">
        <v>235</v>
      </c>
      <c r="B39" s="2">
        <v>1</v>
      </c>
      <c r="C39" s="2">
        <v>1.9812215433739969E-2</v>
      </c>
      <c r="D39" s="2">
        <v>0.16929234048569539</v>
      </c>
      <c r="E39" s="2">
        <v>3.371709809887844</v>
      </c>
      <c r="F39" s="2">
        <v>3.1758173264456779</v>
      </c>
      <c r="G39" s="4">
        <f t="shared" si="0"/>
        <v>3.273763568166761</v>
      </c>
      <c r="H39" s="4">
        <f t="shared" si="1"/>
        <v>7.6933443851918888</v>
      </c>
      <c r="I39" s="2">
        <v>0</v>
      </c>
      <c r="J39" s="2">
        <v>0.99893192532398356</v>
      </c>
      <c r="L39" s="5"/>
      <c r="M39" s="5"/>
      <c r="N39" s="5"/>
      <c r="O39" s="5"/>
      <c r="P39" s="5"/>
      <c r="Q39" s="5"/>
      <c r="R39" s="5"/>
      <c r="S39" s="5"/>
      <c r="U39" s="12"/>
      <c r="V39" s="12"/>
      <c r="W39" s="12"/>
      <c r="X39" s="12"/>
      <c r="Y39" s="12"/>
      <c r="Z39" s="12"/>
      <c r="AA39" s="12"/>
      <c r="AB39" s="12"/>
    </row>
    <row r="40" spans="1:28" x14ac:dyDescent="0.25">
      <c r="A40" s="2">
        <v>240</v>
      </c>
      <c r="B40" s="2">
        <v>1</v>
      </c>
      <c r="C40" s="2">
        <v>6.7405438149320721E-2</v>
      </c>
      <c r="D40" s="2">
        <v>-4.4817601840822008E-2</v>
      </c>
      <c r="E40" s="2">
        <v>3.2699773945251782</v>
      </c>
      <c r="F40" s="2">
        <v>3.1459433680833739</v>
      </c>
      <c r="G40" s="4">
        <f t="shared" si="0"/>
        <v>3.2079603813042761</v>
      </c>
      <c r="H40" s="4">
        <f t="shared" si="1"/>
        <v>7.5387068960650492</v>
      </c>
      <c r="I40" s="2">
        <v>0</v>
      </c>
      <c r="J40" s="2">
        <v>0.90622457710997673</v>
      </c>
      <c r="L40" s="5"/>
      <c r="M40" s="5"/>
      <c r="N40" s="5"/>
      <c r="O40" s="5"/>
      <c r="P40" s="5"/>
      <c r="Q40" s="5"/>
      <c r="R40" s="5"/>
      <c r="S40" s="5"/>
      <c r="U40" s="12"/>
      <c r="V40" s="12"/>
      <c r="W40" s="12"/>
      <c r="X40" s="12"/>
      <c r="Y40" s="12"/>
      <c r="Z40" s="12"/>
      <c r="AA40" s="12"/>
      <c r="AB40" s="12"/>
    </row>
    <row r="41" spans="1:28" x14ac:dyDescent="0.25">
      <c r="A41" s="2">
        <v>245</v>
      </c>
      <c r="B41" s="2">
        <v>1</v>
      </c>
      <c r="C41" s="2">
        <v>-0.14398089099943681</v>
      </c>
      <c r="D41" s="2">
        <v>0.39329913712358489</v>
      </c>
      <c r="E41" s="2">
        <v>3.0774660192421952</v>
      </c>
      <c r="F41" s="2">
        <v>2.9868856174001399</v>
      </c>
      <c r="G41" s="4">
        <f t="shared" si="0"/>
        <v>3.0321758183211678</v>
      </c>
      <c r="H41" s="4">
        <f t="shared" si="1"/>
        <v>7.1256131730547443</v>
      </c>
      <c r="I41" s="2">
        <v>0</v>
      </c>
      <c r="J41" s="2">
        <v>0.9991293443243725</v>
      </c>
      <c r="L41" s="5"/>
      <c r="M41" s="5"/>
      <c r="N41" s="5"/>
      <c r="O41" s="5"/>
      <c r="P41" s="5"/>
      <c r="Q41" s="5"/>
      <c r="R41" s="5"/>
      <c r="S41" s="5"/>
      <c r="U41" s="12"/>
      <c r="V41" s="12"/>
      <c r="W41" s="12"/>
      <c r="X41" s="12"/>
      <c r="Y41" s="12"/>
      <c r="Z41" s="12"/>
      <c r="AA41" s="12"/>
      <c r="AB41" s="12"/>
    </row>
  </sheetData>
  <mergeCells count="1">
    <mergeCell ref="B4:J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FD58-6344-4320-AC0E-EAE558FB9D7A}">
  <dimension ref="A1:AB41"/>
  <sheetViews>
    <sheetView workbookViewId="0">
      <selection activeCell="A2" sqref="A2"/>
    </sheetView>
  </sheetViews>
  <sheetFormatPr defaultRowHeight="15" x14ac:dyDescent="0.25"/>
  <cols>
    <col min="7" max="8" width="13.7109375" customWidth="1"/>
    <col min="21" max="22" width="18.85546875" bestFit="1" customWidth="1"/>
    <col min="23" max="26" width="19.5703125" bestFit="1" customWidth="1"/>
    <col min="27" max="27" width="18.85546875" bestFit="1" customWidth="1"/>
    <col min="28" max="28" width="19.5703125" bestFit="1" customWidth="1"/>
  </cols>
  <sheetData>
    <row r="1" spans="1:28" x14ac:dyDescent="0.25">
      <c r="A1" t="s">
        <v>50</v>
      </c>
    </row>
    <row r="2" spans="1:28" x14ac:dyDescent="0.25">
      <c r="A2" t="s">
        <v>52</v>
      </c>
    </row>
    <row r="4" spans="1:28" x14ac:dyDescent="0.25">
      <c r="B4" s="25" t="s">
        <v>24</v>
      </c>
      <c r="C4" s="25"/>
      <c r="D4" s="25"/>
      <c r="E4" s="25"/>
      <c r="F4" s="25"/>
      <c r="G4" s="25"/>
      <c r="H4" s="25"/>
      <c r="I4" s="25"/>
      <c r="J4" s="25"/>
    </row>
    <row r="5" spans="1:28" x14ac:dyDescent="0.25">
      <c r="A5" s="2" t="s">
        <v>25</v>
      </c>
      <c r="B5" s="2" t="s">
        <v>26</v>
      </c>
      <c r="C5" s="2" t="s">
        <v>27</v>
      </c>
      <c r="D5" s="2" t="s">
        <v>28</v>
      </c>
      <c r="E5" s="2" t="s">
        <v>29</v>
      </c>
      <c r="F5" s="2" t="s">
        <v>30</v>
      </c>
      <c r="G5" s="3" t="s">
        <v>31</v>
      </c>
      <c r="H5" s="3" t="s">
        <v>65</v>
      </c>
      <c r="I5" s="2" t="s">
        <v>32</v>
      </c>
      <c r="J5" s="2" t="s">
        <v>26</v>
      </c>
      <c r="L5" s="5"/>
      <c r="M5" s="5"/>
      <c r="N5" s="5"/>
      <c r="O5" s="5"/>
      <c r="P5" s="5"/>
      <c r="Q5" s="5"/>
      <c r="R5" s="5"/>
      <c r="S5" s="5"/>
    </row>
    <row r="6" spans="1:28" x14ac:dyDescent="0.25">
      <c r="A6" s="2">
        <v>70</v>
      </c>
      <c r="B6" s="2">
        <v>1</v>
      </c>
      <c r="C6" s="2">
        <v>0.4054410722178326</v>
      </c>
      <c r="D6" s="2">
        <v>0.66506995059396101</v>
      </c>
      <c r="E6" s="2">
        <v>5.9227153857001396</v>
      </c>
      <c r="F6" s="2">
        <v>6.0049905151360354</v>
      </c>
      <c r="G6" s="3">
        <f>AVERAGE(E6:F6)</f>
        <v>5.9638529504180875</v>
      </c>
      <c r="H6" s="3">
        <f>2.35*G6</f>
        <v>14.015054433482506</v>
      </c>
      <c r="I6" s="2">
        <v>0</v>
      </c>
      <c r="J6" s="2">
        <v>0.90209304990024264</v>
      </c>
      <c r="L6" s="5"/>
      <c r="M6" s="5"/>
      <c r="N6" s="5"/>
      <c r="O6" s="5"/>
      <c r="P6" s="5"/>
      <c r="Q6" s="5"/>
      <c r="R6" s="5"/>
      <c r="S6" s="5"/>
      <c r="U6" s="13"/>
      <c r="V6" s="13"/>
      <c r="W6" s="13"/>
      <c r="X6" s="13"/>
      <c r="Y6" s="13"/>
      <c r="Z6" s="13"/>
      <c r="AA6" s="13"/>
      <c r="AB6" s="13"/>
    </row>
    <row r="7" spans="1:28" x14ac:dyDescent="0.25">
      <c r="A7" s="2">
        <v>75</v>
      </c>
      <c r="B7" s="2">
        <v>1</v>
      </c>
      <c r="C7" s="2">
        <v>0.1758451917021211</v>
      </c>
      <c r="D7" s="2">
        <v>0.3673318548025627</v>
      </c>
      <c r="E7" s="2">
        <v>5.8201088364053613</v>
      </c>
      <c r="F7" s="2">
        <v>5.7969472300147267</v>
      </c>
      <c r="G7" s="3">
        <f t="shared" ref="G7:G41" si="0">AVERAGE(E7:F7)</f>
        <v>5.8085280332100435</v>
      </c>
      <c r="H7" s="3">
        <f t="shared" ref="H7:H41" si="1">2.35*G7</f>
        <v>13.650040878043603</v>
      </c>
      <c r="I7" s="2">
        <v>0</v>
      </c>
      <c r="J7" s="2">
        <v>0.90075233653042386</v>
      </c>
      <c r="L7" s="5"/>
      <c r="M7" s="5"/>
      <c r="N7" s="5"/>
      <c r="O7" s="5"/>
      <c r="P7" s="5"/>
      <c r="Q7" s="5"/>
      <c r="R7" s="5"/>
      <c r="S7" s="5"/>
      <c r="U7" s="13"/>
      <c r="V7" s="13"/>
      <c r="W7" s="13"/>
      <c r="X7" s="13"/>
      <c r="Y7" s="13"/>
      <c r="Z7" s="13"/>
      <c r="AA7" s="13"/>
      <c r="AB7" s="13"/>
    </row>
    <row r="8" spans="1:28" x14ac:dyDescent="0.25">
      <c r="A8" s="2">
        <v>80</v>
      </c>
      <c r="B8" s="2">
        <v>1</v>
      </c>
      <c r="C8" s="2">
        <v>0.41616191332801877</v>
      </c>
      <c r="D8" s="2">
        <v>0.65454272752734344</v>
      </c>
      <c r="E8" s="2">
        <v>5.6780467189583916</v>
      </c>
      <c r="F8" s="2">
        <v>5.5559688834053862</v>
      </c>
      <c r="G8" s="3">
        <f t="shared" si="0"/>
        <v>5.6170078011818889</v>
      </c>
      <c r="H8" s="3">
        <f t="shared" si="1"/>
        <v>13.19996833277744</v>
      </c>
      <c r="I8" s="2">
        <v>0</v>
      </c>
      <c r="J8" s="2">
        <v>0.97582665778119049</v>
      </c>
      <c r="L8" s="5"/>
      <c r="M8" s="5"/>
      <c r="N8" s="5"/>
      <c r="O8" s="5"/>
      <c r="P8" s="5"/>
      <c r="Q8" s="5"/>
      <c r="R8" s="5"/>
      <c r="S8" s="5"/>
      <c r="U8" s="13"/>
      <c r="V8" s="13"/>
      <c r="W8" s="13"/>
      <c r="X8" s="13"/>
      <c r="Y8" s="13"/>
      <c r="Z8" s="13"/>
      <c r="AA8" s="13"/>
      <c r="AB8" s="13"/>
    </row>
    <row r="9" spans="1:28" x14ac:dyDescent="0.25">
      <c r="A9" s="2">
        <v>85</v>
      </c>
      <c r="B9" s="2">
        <v>1</v>
      </c>
      <c r="C9" s="2">
        <v>-9.3972485980050868E-3</v>
      </c>
      <c r="D9" s="2">
        <v>0.2314165645115201</v>
      </c>
      <c r="E9" s="2">
        <v>5.5112397708353607</v>
      </c>
      <c r="F9" s="2">
        <v>5.3481156477133878</v>
      </c>
      <c r="G9" s="3">
        <f t="shared" si="0"/>
        <v>5.4296777092743742</v>
      </c>
      <c r="H9" s="3">
        <f t="shared" si="1"/>
        <v>12.75974261679478</v>
      </c>
      <c r="I9" s="2">
        <v>0</v>
      </c>
      <c r="J9" s="2">
        <v>0.89765867156994472</v>
      </c>
      <c r="L9" s="5"/>
      <c r="M9" s="5"/>
      <c r="N9" s="5"/>
      <c r="O9" s="5"/>
      <c r="P9" s="5"/>
      <c r="Q9" s="5"/>
      <c r="R9" s="5"/>
      <c r="S9" s="5"/>
      <c r="U9" s="13"/>
      <c r="V9" s="13"/>
      <c r="W9" s="13"/>
      <c r="X9" s="13"/>
      <c r="Y9" s="13"/>
      <c r="Z9" s="13"/>
      <c r="AA9" s="13"/>
      <c r="AB9" s="13"/>
    </row>
    <row r="10" spans="1:28" x14ac:dyDescent="0.25">
      <c r="A10" s="2">
        <v>90</v>
      </c>
      <c r="B10" s="2">
        <v>1</v>
      </c>
      <c r="C10" s="2">
        <v>5.0671931137160363E-2</v>
      </c>
      <c r="D10" s="2">
        <v>0.47774071971729359</v>
      </c>
      <c r="E10" s="2">
        <v>5.3513851628449016</v>
      </c>
      <c r="F10" s="2">
        <v>5.173707488326845</v>
      </c>
      <c r="G10" s="3">
        <f t="shared" si="0"/>
        <v>5.2625463255858733</v>
      </c>
      <c r="H10" s="3">
        <f t="shared" si="1"/>
        <v>12.366983865126803</v>
      </c>
      <c r="I10" s="2">
        <v>0</v>
      </c>
      <c r="J10" s="2">
        <v>0.97489663800517379</v>
      </c>
      <c r="L10" s="5"/>
      <c r="M10" s="5"/>
      <c r="N10" s="5"/>
      <c r="O10" s="5"/>
      <c r="P10" s="5"/>
      <c r="Q10" s="5"/>
      <c r="R10" s="5"/>
      <c r="S10" s="5"/>
      <c r="U10" s="13"/>
      <c r="V10" s="13"/>
      <c r="W10" s="13"/>
      <c r="X10" s="13"/>
      <c r="Y10" s="13"/>
      <c r="Z10" s="13"/>
      <c r="AA10" s="13"/>
      <c r="AB10" s="13"/>
    </row>
    <row r="11" spans="1:28" x14ac:dyDescent="0.25">
      <c r="A11" s="2">
        <v>95</v>
      </c>
      <c r="B11" s="2">
        <v>1</v>
      </c>
      <c r="C11" s="2">
        <v>0.25876591910917851</v>
      </c>
      <c r="D11" s="2">
        <v>0.25655434316632392</v>
      </c>
      <c r="E11" s="2">
        <v>5.1677939920984599</v>
      </c>
      <c r="F11" s="2">
        <v>5.0063381926062434</v>
      </c>
      <c r="G11" s="3">
        <f t="shared" si="0"/>
        <v>5.0870660923523516</v>
      </c>
      <c r="H11" s="3">
        <f t="shared" si="1"/>
        <v>11.954605317028026</v>
      </c>
      <c r="I11" s="2">
        <v>0</v>
      </c>
      <c r="J11" s="2">
        <v>0.90409707328006939</v>
      </c>
      <c r="L11" s="5"/>
      <c r="M11" s="5"/>
      <c r="N11" s="5"/>
      <c r="O11" s="5"/>
      <c r="P11" s="5"/>
      <c r="Q11" s="5"/>
      <c r="R11" s="5"/>
      <c r="S11" s="5"/>
      <c r="U11" s="13"/>
      <c r="V11" s="13"/>
      <c r="W11" s="13"/>
      <c r="X11" s="13"/>
      <c r="Y11" s="13"/>
      <c r="Z11" s="13"/>
      <c r="AA11" s="13"/>
      <c r="AB11" s="13"/>
    </row>
    <row r="12" spans="1:28" x14ac:dyDescent="0.25">
      <c r="A12" s="2">
        <v>100</v>
      </c>
      <c r="B12" s="2">
        <v>1</v>
      </c>
      <c r="C12" s="2">
        <v>4.7839534531045461E-2</v>
      </c>
      <c r="D12" s="2">
        <v>1.135232145893012E-2</v>
      </c>
      <c r="E12" s="2">
        <v>5.0581196451240196</v>
      </c>
      <c r="F12" s="2">
        <v>4.9223106928234914</v>
      </c>
      <c r="G12" s="3">
        <f t="shared" si="0"/>
        <v>4.9902151689737551</v>
      </c>
      <c r="H12" s="3">
        <f t="shared" si="1"/>
        <v>11.727005647088324</v>
      </c>
      <c r="I12" s="2">
        <v>0</v>
      </c>
      <c r="J12" s="2">
        <v>0.98800803949984539</v>
      </c>
      <c r="L12" s="5"/>
      <c r="M12" s="5"/>
      <c r="N12" s="5"/>
      <c r="O12" s="5"/>
      <c r="P12" s="5"/>
      <c r="Q12" s="5"/>
      <c r="R12" s="5"/>
      <c r="S12" s="5"/>
      <c r="U12" s="13"/>
      <c r="V12" s="13"/>
      <c r="W12" s="13"/>
      <c r="X12" s="13"/>
      <c r="Y12" s="13"/>
      <c r="Z12" s="13"/>
      <c r="AA12" s="13"/>
      <c r="AB12" s="13"/>
    </row>
    <row r="13" spans="1:28" x14ac:dyDescent="0.25">
      <c r="A13" s="2">
        <v>105</v>
      </c>
      <c r="B13" s="2">
        <v>1</v>
      </c>
      <c r="C13" s="2">
        <v>0.18695431474058621</v>
      </c>
      <c r="D13" s="2">
        <v>0.28576635375884779</v>
      </c>
      <c r="E13" s="2">
        <v>4.9055485893227946</v>
      </c>
      <c r="F13" s="2">
        <v>4.8092469623788743</v>
      </c>
      <c r="G13" s="3">
        <f t="shared" si="0"/>
        <v>4.8573977758508349</v>
      </c>
      <c r="H13" s="3">
        <f t="shared" si="1"/>
        <v>11.414884773249462</v>
      </c>
      <c r="I13" s="2">
        <v>0</v>
      </c>
      <c r="J13" s="2">
        <v>0.83433899738769968</v>
      </c>
      <c r="L13" s="5"/>
      <c r="M13" s="5"/>
      <c r="N13" s="5"/>
      <c r="O13" s="5"/>
      <c r="P13" s="5"/>
      <c r="Q13" s="5"/>
      <c r="R13" s="5"/>
      <c r="S13" s="5"/>
      <c r="U13" s="13"/>
      <c r="V13" s="13"/>
      <c r="W13" s="13"/>
      <c r="X13" s="13"/>
      <c r="Y13" s="13"/>
      <c r="Z13" s="13"/>
      <c r="AA13" s="13"/>
      <c r="AB13" s="13"/>
    </row>
    <row r="14" spans="1:28" x14ac:dyDescent="0.25">
      <c r="A14" s="2">
        <v>110</v>
      </c>
      <c r="B14" s="2">
        <v>1</v>
      </c>
      <c r="C14" s="2">
        <v>0.1084378279885972</v>
      </c>
      <c r="D14" s="2">
        <v>0.14374456945567521</v>
      </c>
      <c r="E14" s="2">
        <v>4.6372570935451787</v>
      </c>
      <c r="F14" s="2">
        <v>4.5923236746415954</v>
      </c>
      <c r="G14" s="3">
        <f t="shared" si="0"/>
        <v>4.6147903840933875</v>
      </c>
      <c r="H14" s="3">
        <f t="shared" si="1"/>
        <v>10.844757402619461</v>
      </c>
      <c r="I14" s="2">
        <v>0</v>
      </c>
      <c r="J14" s="2">
        <v>0.7</v>
      </c>
      <c r="L14" s="5"/>
      <c r="M14" s="5"/>
      <c r="N14" s="5"/>
      <c r="O14" s="5"/>
      <c r="P14" s="5"/>
      <c r="Q14" s="5"/>
      <c r="R14" s="5"/>
      <c r="S14" s="5"/>
      <c r="U14" s="13"/>
      <c r="V14" s="13"/>
      <c r="W14" s="13"/>
      <c r="X14" s="13"/>
      <c r="Y14" s="13"/>
      <c r="Z14" s="13"/>
      <c r="AA14" s="13"/>
      <c r="AB14" s="13"/>
    </row>
    <row r="15" spans="1:28" x14ac:dyDescent="0.25">
      <c r="A15" s="2">
        <v>115</v>
      </c>
      <c r="B15" s="2">
        <v>1</v>
      </c>
      <c r="C15" s="2">
        <v>0.3174146687135091</v>
      </c>
      <c r="D15" s="2">
        <v>0.34191843007633171</v>
      </c>
      <c r="E15" s="2">
        <v>4.5910850480779999</v>
      </c>
      <c r="F15" s="2">
        <v>4.5609394310779718</v>
      </c>
      <c r="G15" s="3">
        <f t="shared" si="0"/>
        <v>4.5760122395779863</v>
      </c>
      <c r="H15" s="3">
        <f t="shared" si="1"/>
        <v>10.753628763008269</v>
      </c>
      <c r="I15" s="2">
        <v>0</v>
      </c>
      <c r="J15" s="2">
        <v>0.99231316662795177</v>
      </c>
      <c r="L15" s="5"/>
      <c r="M15" s="5"/>
      <c r="N15" s="5"/>
      <c r="O15" s="5"/>
      <c r="P15" s="5"/>
      <c r="Q15" s="5"/>
      <c r="R15" s="5"/>
      <c r="S15" s="5"/>
      <c r="U15" s="13"/>
      <c r="V15" s="13"/>
      <c r="W15" s="13"/>
      <c r="X15" s="13"/>
      <c r="Y15" s="13"/>
      <c r="Z15" s="13"/>
      <c r="AA15" s="13"/>
      <c r="AB15" s="13"/>
    </row>
    <row r="16" spans="1:28" x14ac:dyDescent="0.25">
      <c r="A16" s="2">
        <v>120</v>
      </c>
      <c r="B16" s="2">
        <v>1</v>
      </c>
      <c r="C16" s="2">
        <v>5.9570560524047432E-2</v>
      </c>
      <c r="D16" s="2">
        <v>0.41524589832977549</v>
      </c>
      <c r="E16" s="2">
        <v>4.5121118182911291</v>
      </c>
      <c r="F16" s="2">
        <v>4.5146449849237094</v>
      </c>
      <c r="G16" s="3">
        <f t="shared" si="0"/>
        <v>4.5133784016074188</v>
      </c>
      <c r="H16" s="3">
        <f t="shared" si="1"/>
        <v>10.606439243777434</v>
      </c>
      <c r="I16" s="2">
        <v>0</v>
      </c>
      <c r="J16" s="2">
        <v>0.91558517868030032</v>
      </c>
      <c r="L16" s="5"/>
      <c r="M16" s="5"/>
      <c r="N16" s="5"/>
      <c r="O16" s="5"/>
      <c r="P16" s="5"/>
      <c r="Q16" s="5"/>
      <c r="R16" s="5"/>
      <c r="S16" s="5"/>
      <c r="U16" s="13"/>
      <c r="V16" s="13"/>
      <c r="W16" s="13"/>
      <c r="X16" s="13"/>
      <c r="Y16" s="13"/>
      <c r="Z16" s="13"/>
      <c r="AA16" s="13"/>
      <c r="AB16" s="13"/>
    </row>
    <row r="17" spans="1:28" x14ac:dyDescent="0.25">
      <c r="A17" s="2">
        <v>125</v>
      </c>
      <c r="B17" s="2">
        <v>0.999999999989996</v>
      </c>
      <c r="C17" s="2">
        <v>0.2086792167065091</v>
      </c>
      <c r="D17" s="2">
        <v>0.34401041597041132</v>
      </c>
      <c r="E17" s="2">
        <v>4.3934441483178839</v>
      </c>
      <c r="F17" s="2">
        <v>4.4058826233768027</v>
      </c>
      <c r="G17" s="3">
        <f t="shared" si="0"/>
        <v>4.3996633858473437</v>
      </c>
      <c r="H17" s="3">
        <f t="shared" si="1"/>
        <v>10.339208956741258</v>
      </c>
      <c r="I17" s="2">
        <v>0</v>
      </c>
      <c r="J17" s="2">
        <v>0.99710829835015302</v>
      </c>
      <c r="L17" s="5"/>
      <c r="M17" s="5"/>
      <c r="N17" s="5"/>
      <c r="O17" s="5"/>
      <c r="P17" s="5"/>
      <c r="Q17" s="5"/>
      <c r="R17" s="5"/>
      <c r="S17" s="5"/>
      <c r="U17" s="13"/>
      <c r="V17" s="13"/>
      <c r="W17" s="13"/>
      <c r="X17" s="13"/>
      <c r="Y17" s="13"/>
      <c r="Z17" s="13"/>
      <c r="AA17" s="13"/>
      <c r="AB17" s="13"/>
    </row>
    <row r="18" spans="1:28" x14ac:dyDescent="0.25">
      <c r="A18" s="2">
        <v>130</v>
      </c>
      <c r="B18" s="2">
        <v>1</v>
      </c>
      <c r="C18" s="2">
        <v>0.31988268764113981</v>
      </c>
      <c r="D18" s="2">
        <v>0.1225526068679111</v>
      </c>
      <c r="E18" s="2">
        <v>4.3319005735318026</v>
      </c>
      <c r="F18" s="2">
        <v>4.3447070055324639</v>
      </c>
      <c r="G18" s="3">
        <f t="shared" si="0"/>
        <v>4.3383037895321337</v>
      </c>
      <c r="H18" s="3">
        <f t="shared" si="1"/>
        <v>10.195013905400515</v>
      </c>
      <c r="I18" s="2">
        <v>0</v>
      </c>
      <c r="J18" s="2">
        <v>0.99878838216178223</v>
      </c>
      <c r="L18" s="5"/>
      <c r="M18" s="5"/>
      <c r="N18" s="5"/>
      <c r="O18" s="5"/>
      <c r="P18" s="5"/>
      <c r="Q18" s="5"/>
      <c r="R18" s="5"/>
      <c r="S18" s="5"/>
      <c r="U18" s="13"/>
      <c r="V18" s="13"/>
      <c r="W18" s="13"/>
      <c r="X18" s="13"/>
      <c r="Y18" s="13"/>
      <c r="Z18" s="13"/>
      <c r="AA18" s="13"/>
      <c r="AB18" s="13"/>
    </row>
    <row r="19" spans="1:28" x14ac:dyDescent="0.25">
      <c r="A19" s="2">
        <v>135</v>
      </c>
      <c r="B19" s="2">
        <v>1</v>
      </c>
      <c r="C19" s="2">
        <v>2.4626005326531159E-2</v>
      </c>
      <c r="D19" s="2">
        <v>-0.17526426993723351</v>
      </c>
      <c r="E19" s="2">
        <v>4.2074943871332504</v>
      </c>
      <c r="F19" s="2">
        <v>4.2188398395401139</v>
      </c>
      <c r="G19" s="3">
        <f t="shared" si="0"/>
        <v>4.2131671133366826</v>
      </c>
      <c r="H19" s="3">
        <f t="shared" si="1"/>
        <v>9.9009427163412038</v>
      </c>
      <c r="I19" s="2">
        <v>0</v>
      </c>
      <c r="J19" s="2">
        <v>0.90548663382449812</v>
      </c>
      <c r="L19" s="5"/>
      <c r="M19" s="5"/>
      <c r="N19" s="5"/>
      <c r="O19" s="5"/>
      <c r="P19" s="5"/>
      <c r="Q19" s="5"/>
      <c r="R19" s="5"/>
      <c r="S19" s="5"/>
      <c r="U19" s="13"/>
      <c r="V19" s="13"/>
      <c r="W19" s="13"/>
      <c r="X19" s="13"/>
      <c r="Y19" s="13"/>
      <c r="Z19" s="13"/>
      <c r="AA19" s="13"/>
      <c r="AB19" s="13"/>
    </row>
    <row r="20" spans="1:28" x14ac:dyDescent="0.25">
      <c r="A20" s="2">
        <v>140</v>
      </c>
      <c r="B20" s="2">
        <v>1</v>
      </c>
      <c r="C20" s="2">
        <v>0.2698424800088316</v>
      </c>
      <c r="D20" s="2">
        <v>0.34175434307604191</v>
      </c>
      <c r="E20" s="2">
        <v>4.183432913863526</v>
      </c>
      <c r="F20" s="2">
        <v>4.1827620352044752</v>
      </c>
      <c r="G20" s="3">
        <f t="shared" si="0"/>
        <v>4.1830974745340006</v>
      </c>
      <c r="H20" s="3">
        <f t="shared" si="1"/>
        <v>9.830279065154901</v>
      </c>
      <c r="I20" s="2">
        <v>0</v>
      </c>
      <c r="J20" s="2">
        <v>0.99912671208632475</v>
      </c>
      <c r="L20" s="5"/>
      <c r="M20" s="5"/>
      <c r="N20" s="5"/>
      <c r="O20" s="5"/>
      <c r="P20" s="5"/>
      <c r="Q20" s="5"/>
      <c r="R20" s="5"/>
      <c r="S20" s="5"/>
      <c r="U20" s="13"/>
      <c r="V20" s="13"/>
      <c r="W20" s="13"/>
      <c r="X20" s="13"/>
      <c r="Y20" s="13"/>
      <c r="Z20" s="13"/>
      <c r="AA20" s="13"/>
      <c r="AB20" s="13"/>
    </row>
    <row r="21" spans="1:28" x14ac:dyDescent="0.25">
      <c r="A21" s="2">
        <v>145</v>
      </c>
      <c r="B21" s="2">
        <v>1</v>
      </c>
      <c r="C21" s="2">
        <v>0.20605322577859461</v>
      </c>
      <c r="D21" s="2">
        <v>7.8232551644419501E-2</v>
      </c>
      <c r="E21" s="2">
        <v>4.1169454219540276</v>
      </c>
      <c r="F21" s="2">
        <v>4.0926437510067899</v>
      </c>
      <c r="G21" s="3">
        <f t="shared" si="0"/>
        <v>4.1047945864804092</v>
      </c>
      <c r="H21" s="3">
        <f t="shared" si="1"/>
        <v>9.6462672782289616</v>
      </c>
      <c r="I21" s="2">
        <v>0</v>
      </c>
      <c r="J21" s="2">
        <v>0.99897642538493903</v>
      </c>
      <c r="L21" s="5"/>
      <c r="M21" s="5"/>
      <c r="N21" s="5"/>
      <c r="O21" s="5"/>
      <c r="P21" s="5"/>
      <c r="Q21" s="5"/>
      <c r="R21" s="5"/>
      <c r="S21" s="5"/>
      <c r="U21" s="13"/>
      <c r="V21" s="13"/>
      <c r="W21" s="13"/>
      <c r="X21" s="13"/>
      <c r="Y21" s="13"/>
      <c r="Z21" s="13"/>
      <c r="AA21" s="13"/>
      <c r="AB21" s="13"/>
    </row>
    <row r="22" spans="1:28" x14ac:dyDescent="0.25">
      <c r="A22" s="2">
        <v>150</v>
      </c>
      <c r="B22" s="2">
        <v>1</v>
      </c>
      <c r="C22" s="2">
        <v>-6.0799890221686827E-3</v>
      </c>
      <c r="D22" s="2">
        <v>0.65868349940905335</v>
      </c>
      <c r="E22" s="2">
        <v>4.0424067544877591</v>
      </c>
      <c r="F22" s="2">
        <v>4.0058016005937498</v>
      </c>
      <c r="G22" s="3">
        <f t="shared" si="0"/>
        <v>4.0241041775407549</v>
      </c>
      <c r="H22" s="3">
        <f t="shared" si="1"/>
        <v>9.4566448172207735</v>
      </c>
      <c r="I22" s="2">
        <v>0</v>
      </c>
      <c r="J22" s="2">
        <v>0.99999999999964317</v>
      </c>
      <c r="L22" s="5"/>
      <c r="M22" s="5"/>
      <c r="N22" s="5"/>
      <c r="O22" s="5"/>
      <c r="P22" s="5"/>
      <c r="Q22" s="5"/>
      <c r="R22" s="5"/>
      <c r="S22" s="5"/>
      <c r="U22" s="13"/>
      <c r="V22" s="13"/>
      <c r="W22" s="13"/>
      <c r="X22" s="13"/>
      <c r="Y22" s="13"/>
      <c r="Z22" s="13"/>
      <c r="AA22" s="13"/>
      <c r="AB22" s="13"/>
    </row>
    <row r="23" spans="1:28" x14ac:dyDescent="0.25">
      <c r="A23" s="2">
        <v>155</v>
      </c>
      <c r="B23" s="2">
        <v>0.99999999999996714</v>
      </c>
      <c r="C23" s="2">
        <v>0.38688286945430711</v>
      </c>
      <c r="D23" s="2">
        <v>0.2202492013659294</v>
      </c>
      <c r="E23" s="2">
        <v>4.0222657554484833</v>
      </c>
      <c r="F23" s="2">
        <v>3.9483915865567489</v>
      </c>
      <c r="G23" s="3">
        <f t="shared" si="0"/>
        <v>3.9853286710026161</v>
      </c>
      <c r="H23" s="3">
        <f t="shared" si="1"/>
        <v>9.3655223768561484</v>
      </c>
      <c r="I23" s="2">
        <v>0</v>
      </c>
      <c r="J23" s="2">
        <v>0.99954566966753033</v>
      </c>
      <c r="L23" s="5"/>
      <c r="M23" s="5"/>
      <c r="N23" s="5"/>
      <c r="O23" s="5"/>
      <c r="P23" s="5"/>
      <c r="Q23" s="5"/>
      <c r="R23" s="5"/>
      <c r="S23" s="5"/>
      <c r="U23" s="13"/>
      <c r="V23" s="13"/>
      <c r="W23" s="13"/>
      <c r="X23" s="13"/>
      <c r="Y23" s="13"/>
      <c r="Z23" s="13"/>
      <c r="AA23" s="13"/>
      <c r="AB23" s="13"/>
    </row>
    <row r="24" spans="1:28" x14ac:dyDescent="0.25">
      <c r="A24" s="2">
        <v>160</v>
      </c>
      <c r="B24" s="2">
        <v>1</v>
      </c>
      <c r="C24" s="2">
        <v>0.17831839021284299</v>
      </c>
      <c r="D24" s="2">
        <v>0.17694785426249049</v>
      </c>
      <c r="E24" s="2">
        <v>3.972105849016367</v>
      </c>
      <c r="F24" s="2">
        <v>3.8568762469689681</v>
      </c>
      <c r="G24" s="3">
        <f t="shared" si="0"/>
        <v>3.9144910479926676</v>
      </c>
      <c r="H24" s="3">
        <f t="shared" si="1"/>
        <v>9.1990539627827683</v>
      </c>
      <c r="I24" s="2">
        <v>0</v>
      </c>
      <c r="J24" s="2">
        <v>0.99944379937675032</v>
      </c>
      <c r="L24" s="5"/>
      <c r="M24" s="5"/>
      <c r="N24" s="5"/>
      <c r="O24" s="5"/>
      <c r="P24" s="5"/>
      <c r="Q24" s="5"/>
      <c r="R24" s="5"/>
      <c r="S24" s="5"/>
      <c r="U24" s="13"/>
      <c r="V24" s="13"/>
      <c r="W24" s="13"/>
      <c r="X24" s="13"/>
      <c r="Y24" s="13"/>
      <c r="Z24" s="13"/>
      <c r="AA24" s="13"/>
      <c r="AB24" s="13"/>
    </row>
    <row r="25" spans="1:28" x14ac:dyDescent="0.25">
      <c r="A25" s="2">
        <v>165</v>
      </c>
      <c r="B25" s="2">
        <v>1</v>
      </c>
      <c r="C25" s="2">
        <v>0.15038270319041661</v>
      </c>
      <c r="D25" s="2">
        <v>0.26888484144557578</v>
      </c>
      <c r="E25" s="2">
        <v>3.89792615630203</v>
      </c>
      <c r="F25" s="2">
        <v>3.7669372896038551</v>
      </c>
      <c r="G25" s="3">
        <f t="shared" si="0"/>
        <v>3.8324317229529425</v>
      </c>
      <c r="H25" s="3">
        <f t="shared" si="1"/>
        <v>9.0062145489394148</v>
      </c>
      <c r="I25" s="2">
        <v>0</v>
      </c>
      <c r="J25" s="2">
        <v>0.99999999996700284</v>
      </c>
      <c r="L25" s="5"/>
      <c r="M25" s="5"/>
      <c r="N25" s="5"/>
      <c r="O25" s="5"/>
      <c r="P25" s="5"/>
      <c r="Q25" s="5"/>
      <c r="R25" s="5"/>
      <c r="S25" s="5"/>
      <c r="U25" s="13"/>
      <c r="V25" s="13"/>
      <c r="W25" s="13"/>
      <c r="X25" s="13"/>
      <c r="Y25" s="13"/>
      <c r="Z25" s="13"/>
      <c r="AA25" s="13"/>
      <c r="AB25" s="13"/>
    </row>
    <row r="26" spans="1:28" x14ac:dyDescent="0.25">
      <c r="A26" s="2">
        <v>170</v>
      </c>
      <c r="B26" s="2">
        <v>1</v>
      </c>
      <c r="C26" s="2">
        <v>0.36257133649176798</v>
      </c>
      <c r="D26" s="2">
        <v>0.27643472340730069</v>
      </c>
      <c r="E26" s="2">
        <v>3.928612597515464</v>
      </c>
      <c r="F26" s="2">
        <v>3.774478902555062</v>
      </c>
      <c r="G26" s="3">
        <f t="shared" si="0"/>
        <v>3.851545750035263</v>
      </c>
      <c r="H26" s="3">
        <f t="shared" si="1"/>
        <v>9.0511325125828677</v>
      </c>
      <c r="I26" s="2">
        <v>0</v>
      </c>
      <c r="J26" s="2">
        <v>0.99999999999999978</v>
      </c>
      <c r="L26" s="5"/>
      <c r="M26" s="5"/>
      <c r="N26" s="5"/>
      <c r="O26" s="5"/>
      <c r="P26" s="5"/>
      <c r="Q26" s="5"/>
      <c r="R26" s="5"/>
      <c r="S26" s="5"/>
      <c r="U26" s="13"/>
      <c r="V26" s="13"/>
      <c r="W26" s="13"/>
      <c r="X26" s="13"/>
      <c r="Y26" s="13"/>
      <c r="Z26" s="13"/>
      <c r="AA26" s="13"/>
      <c r="AB26" s="13"/>
    </row>
    <row r="27" spans="1:28" x14ac:dyDescent="0.25">
      <c r="A27" s="2">
        <v>175</v>
      </c>
      <c r="B27" s="2">
        <v>1</v>
      </c>
      <c r="C27" s="2">
        <v>-0.15044112417155411</v>
      </c>
      <c r="D27" s="2">
        <v>0.26856227686734968</v>
      </c>
      <c r="E27" s="2">
        <v>3.8995134879691649</v>
      </c>
      <c r="F27" s="2">
        <v>3.729598152826886</v>
      </c>
      <c r="G27" s="3">
        <f t="shared" si="0"/>
        <v>3.8145558203980254</v>
      </c>
      <c r="H27" s="3">
        <f t="shared" si="1"/>
        <v>8.9642061779353597</v>
      </c>
      <c r="I27" s="2">
        <v>0</v>
      </c>
      <c r="J27" s="2">
        <v>1</v>
      </c>
      <c r="L27" s="5"/>
      <c r="M27" s="5"/>
      <c r="N27" s="5"/>
      <c r="O27" s="5"/>
      <c r="P27" s="5"/>
      <c r="Q27" s="5"/>
      <c r="R27" s="5"/>
      <c r="S27" s="5"/>
      <c r="U27" s="13"/>
      <c r="V27" s="13"/>
      <c r="W27" s="13"/>
      <c r="X27" s="13"/>
      <c r="Y27" s="13"/>
      <c r="Z27" s="13"/>
      <c r="AA27" s="13"/>
      <c r="AB27" s="13"/>
    </row>
    <row r="28" spans="1:28" x14ac:dyDescent="0.25">
      <c r="A28" s="2">
        <v>180</v>
      </c>
      <c r="B28" s="2">
        <v>1</v>
      </c>
      <c r="C28" s="2">
        <v>6.5173777945997671E-2</v>
      </c>
      <c r="D28" s="2">
        <v>-2.0283774481727829E-2</v>
      </c>
      <c r="E28" s="2">
        <v>3.8313499769751589</v>
      </c>
      <c r="F28" s="2">
        <v>3.6370489453814319</v>
      </c>
      <c r="G28" s="3">
        <f t="shared" si="0"/>
        <v>3.7341994611782954</v>
      </c>
      <c r="H28" s="3">
        <f t="shared" si="1"/>
        <v>8.7753687337689943</v>
      </c>
      <c r="I28" s="2">
        <v>0</v>
      </c>
      <c r="J28" s="2">
        <v>0.99999989201969663</v>
      </c>
      <c r="L28" s="5"/>
      <c r="M28" s="5"/>
      <c r="N28" s="5"/>
      <c r="O28" s="5"/>
      <c r="P28" s="5"/>
      <c r="Q28" s="5"/>
      <c r="R28" s="5"/>
      <c r="S28" s="5"/>
      <c r="U28" s="13"/>
      <c r="V28" s="13"/>
      <c r="W28" s="13"/>
      <c r="X28" s="13"/>
      <c r="Y28" s="13"/>
      <c r="Z28" s="13"/>
      <c r="AA28" s="13"/>
      <c r="AB28" s="13"/>
    </row>
    <row r="29" spans="1:28" x14ac:dyDescent="0.25">
      <c r="A29" s="2">
        <v>185</v>
      </c>
      <c r="B29" s="2">
        <v>1</v>
      </c>
      <c r="C29" s="2">
        <v>0.24156650521303519</v>
      </c>
      <c r="D29" s="2">
        <v>0.30095289412819959</v>
      </c>
      <c r="E29" s="2">
        <v>3.8236665384183368</v>
      </c>
      <c r="F29" s="2">
        <v>3.6167188997916648</v>
      </c>
      <c r="G29" s="3">
        <f t="shared" si="0"/>
        <v>3.7201927191050008</v>
      </c>
      <c r="H29" s="3">
        <f t="shared" si="1"/>
        <v>8.742452889896752</v>
      </c>
      <c r="I29" s="2">
        <v>0</v>
      </c>
      <c r="J29" s="2">
        <v>1</v>
      </c>
      <c r="L29" s="5"/>
      <c r="M29" s="5"/>
      <c r="N29" s="5"/>
      <c r="O29" s="5"/>
      <c r="P29" s="5"/>
      <c r="Q29" s="5"/>
      <c r="R29" s="5"/>
      <c r="S29" s="5"/>
      <c r="U29" s="13"/>
      <c r="V29" s="13"/>
      <c r="W29" s="13"/>
      <c r="X29" s="13"/>
      <c r="Y29" s="13"/>
      <c r="Z29" s="13"/>
      <c r="AA29" s="13"/>
      <c r="AB29" s="13"/>
    </row>
    <row r="30" spans="1:28" x14ac:dyDescent="0.25">
      <c r="A30" s="2">
        <v>190</v>
      </c>
      <c r="B30" s="2">
        <v>1</v>
      </c>
      <c r="C30" s="2">
        <v>-0.12917947224554061</v>
      </c>
      <c r="D30" s="2">
        <v>4.6583168229152087E-2</v>
      </c>
      <c r="E30" s="2">
        <v>3.777667258850967</v>
      </c>
      <c r="F30" s="2">
        <v>3.5603614871740281</v>
      </c>
      <c r="G30" s="3">
        <f t="shared" si="0"/>
        <v>3.6690143730124976</v>
      </c>
      <c r="H30" s="3">
        <f t="shared" si="1"/>
        <v>8.6221837765793694</v>
      </c>
      <c r="I30" s="2">
        <v>0</v>
      </c>
      <c r="J30" s="2">
        <v>0.9999999942273563</v>
      </c>
      <c r="L30" s="5"/>
      <c r="M30" s="5"/>
      <c r="N30" s="5"/>
      <c r="O30" s="5"/>
      <c r="P30" s="5"/>
      <c r="Q30" s="5"/>
      <c r="R30" s="5"/>
      <c r="S30" s="5"/>
      <c r="U30" s="13"/>
      <c r="V30" s="13"/>
      <c r="W30" s="13"/>
      <c r="X30" s="13"/>
      <c r="Y30" s="13"/>
      <c r="Z30" s="13"/>
      <c r="AA30" s="13"/>
      <c r="AB30" s="13"/>
    </row>
    <row r="31" spans="1:28" x14ac:dyDescent="0.25">
      <c r="A31" s="2">
        <v>195</v>
      </c>
      <c r="B31" s="2">
        <v>1</v>
      </c>
      <c r="C31" s="2">
        <v>-2.391227685913094E-2</v>
      </c>
      <c r="D31" s="2">
        <v>2.5504588645120702E-2</v>
      </c>
      <c r="E31" s="2">
        <v>3.7461453428932461</v>
      </c>
      <c r="F31" s="2">
        <v>3.5265646856456052</v>
      </c>
      <c r="G31" s="3">
        <f t="shared" si="0"/>
        <v>3.6363550142694256</v>
      </c>
      <c r="H31" s="3">
        <f t="shared" si="1"/>
        <v>8.5454342835331509</v>
      </c>
      <c r="I31" s="2">
        <v>0</v>
      </c>
      <c r="J31" s="2">
        <v>0.99999999921838101</v>
      </c>
      <c r="L31" s="5"/>
      <c r="M31" s="5"/>
      <c r="N31" s="5"/>
      <c r="O31" s="5"/>
      <c r="P31" s="5"/>
      <c r="Q31" s="5"/>
      <c r="R31" s="5"/>
      <c r="S31" s="5"/>
      <c r="U31" s="13"/>
      <c r="V31" s="13"/>
      <c r="W31" s="13"/>
      <c r="X31" s="13"/>
      <c r="Y31" s="13"/>
      <c r="Z31" s="13"/>
      <c r="AA31" s="13"/>
      <c r="AB31" s="13"/>
    </row>
    <row r="32" spans="1:28" x14ac:dyDescent="0.25">
      <c r="A32" s="2">
        <v>200</v>
      </c>
      <c r="B32" s="2">
        <v>1</v>
      </c>
      <c r="C32" s="2">
        <v>0.23098807723628301</v>
      </c>
      <c r="D32" s="2">
        <v>0.28805943362116432</v>
      </c>
      <c r="E32" s="2">
        <v>3.67783470471276</v>
      </c>
      <c r="F32" s="2">
        <v>3.479581475221972</v>
      </c>
      <c r="G32" s="3">
        <f t="shared" si="0"/>
        <v>3.5787080899673658</v>
      </c>
      <c r="H32" s="3">
        <f t="shared" si="1"/>
        <v>8.4099640114233107</v>
      </c>
      <c r="I32" s="2">
        <v>0</v>
      </c>
      <c r="J32" s="2">
        <v>0.99999999999826905</v>
      </c>
      <c r="L32" s="5"/>
      <c r="M32" s="5"/>
      <c r="N32" s="5"/>
      <c r="O32" s="5"/>
      <c r="P32" s="5"/>
      <c r="Q32" s="5"/>
      <c r="R32" s="5"/>
      <c r="S32" s="5"/>
      <c r="U32" s="13"/>
      <c r="V32" s="13"/>
      <c r="W32" s="13"/>
      <c r="X32" s="13"/>
      <c r="Y32" s="13"/>
      <c r="Z32" s="13"/>
      <c r="AA32" s="13"/>
      <c r="AB32" s="13"/>
    </row>
    <row r="33" spans="1:28" x14ac:dyDescent="0.25">
      <c r="A33" s="2">
        <v>205</v>
      </c>
      <c r="B33" s="2">
        <v>1</v>
      </c>
      <c r="C33" s="2">
        <v>1.0458894364905959E-2</v>
      </c>
      <c r="D33" s="2">
        <v>0.1110298956145738</v>
      </c>
      <c r="E33" s="2">
        <v>3.67079041071971</v>
      </c>
      <c r="F33" s="2">
        <v>3.503340457148111</v>
      </c>
      <c r="G33" s="3">
        <f t="shared" si="0"/>
        <v>3.5870654339339105</v>
      </c>
      <c r="H33" s="3">
        <f t="shared" si="1"/>
        <v>8.4296037697446895</v>
      </c>
      <c r="I33" s="2">
        <v>0</v>
      </c>
      <c r="J33" s="2">
        <v>1</v>
      </c>
      <c r="L33" s="5"/>
      <c r="M33" s="5"/>
      <c r="N33" s="5"/>
      <c r="O33" s="5"/>
      <c r="P33" s="5"/>
      <c r="Q33" s="5"/>
      <c r="R33" s="5"/>
      <c r="S33" s="5"/>
      <c r="U33" s="13"/>
      <c r="V33" s="13"/>
      <c r="W33" s="13"/>
      <c r="X33" s="13"/>
      <c r="Y33" s="13"/>
      <c r="Z33" s="13"/>
      <c r="AA33" s="13"/>
      <c r="AB33" s="13"/>
    </row>
    <row r="34" spans="1:28" x14ac:dyDescent="0.25">
      <c r="A34" s="2">
        <v>210</v>
      </c>
      <c r="B34" s="2">
        <v>1</v>
      </c>
      <c r="C34" s="2">
        <v>-6.1328704217559144E-3</v>
      </c>
      <c r="D34" s="2">
        <v>-2.1673693863324999E-2</v>
      </c>
      <c r="E34" s="2">
        <v>3.6027341446924899</v>
      </c>
      <c r="F34" s="2">
        <v>3.4778453553725202</v>
      </c>
      <c r="G34" s="3">
        <f t="shared" si="0"/>
        <v>3.540289750032505</v>
      </c>
      <c r="H34" s="3">
        <f t="shared" si="1"/>
        <v>8.3196809125763878</v>
      </c>
      <c r="I34" s="2">
        <v>0</v>
      </c>
      <c r="J34" s="2">
        <v>1</v>
      </c>
      <c r="L34" s="5"/>
      <c r="M34" s="5"/>
      <c r="N34" s="5"/>
      <c r="O34" s="5"/>
      <c r="P34" s="5"/>
      <c r="Q34" s="5"/>
      <c r="R34" s="5"/>
      <c r="S34" s="5"/>
      <c r="U34" s="13"/>
      <c r="V34" s="13"/>
      <c r="W34" s="13"/>
      <c r="X34" s="13"/>
      <c r="Y34" s="13"/>
      <c r="Z34" s="13"/>
      <c r="AA34" s="13"/>
      <c r="AB34" s="13"/>
    </row>
    <row r="35" spans="1:28" x14ac:dyDescent="0.25">
      <c r="A35" s="2">
        <v>215</v>
      </c>
      <c r="B35" s="2">
        <v>1</v>
      </c>
      <c r="C35" s="2">
        <v>-0.11934813772166181</v>
      </c>
      <c r="D35" s="2">
        <v>-5.1653879413217453E-2</v>
      </c>
      <c r="E35" s="2">
        <v>3.548824414263402</v>
      </c>
      <c r="F35" s="2">
        <v>3.4617046156158779</v>
      </c>
      <c r="G35" s="3">
        <f t="shared" si="0"/>
        <v>3.5052645149396398</v>
      </c>
      <c r="H35" s="3">
        <f t="shared" si="1"/>
        <v>8.2373716101081538</v>
      </c>
      <c r="I35" s="2">
        <v>0</v>
      </c>
      <c r="J35" s="2">
        <v>0.99999999998751521</v>
      </c>
      <c r="L35" s="5"/>
      <c r="M35" s="5"/>
      <c r="N35" s="5"/>
      <c r="O35" s="5"/>
      <c r="P35" s="5"/>
      <c r="Q35" s="5"/>
      <c r="R35" s="5"/>
      <c r="S35" s="5"/>
      <c r="U35" s="13"/>
      <c r="V35" s="13"/>
      <c r="W35" s="13"/>
      <c r="X35" s="13"/>
      <c r="Y35" s="13"/>
      <c r="Z35" s="13"/>
      <c r="AA35" s="13"/>
      <c r="AB35" s="13"/>
    </row>
    <row r="36" spans="1:28" x14ac:dyDescent="0.25">
      <c r="A36" s="2">
        <v>220</v>
      </c>
      <c r="B36" s="2">
        <v>1</v>
      </c>
      <c r="C36" s="2">
        <v>-6.1682364768944009E-2</v>
      </c>
      <c r="D36" s="2">
        <v>0.16537863416928791</v>
      </c>
      <c r="E36" s="2">
        <v>3.5235458473701762</v>
      </c>
      <c r="F36" s="2">
        <v>3.489349033872434</v>
      </c>
      <c r="G36" s="3">
        <f t="shared" si="0"/>
        <v>3.5064474406213053</v>
      </c>
      <c r="H36" s="3">
        <f t="shared" si="1"/>
        <v>8.2401514854600677</v>
      </c>
      <c r="I36" s="2">
        <v>0</v>
      </c>
      <c r="J36" s="2">
        <v>0.99999999999997036</v>
      </c>
      <c r="L36" s="5"/>
      <c r="M36" s="5"/>
      <c r="N36" s="5"/>
      <c r="O36" s="5"/>
      <c r="P36" s="5"/>
      <c r="Q36" s="5"/>
      <c r="R36" s="5"/>
      <c r="S36" s="5"/>
      <c r="U36" s="13"/>
      <c r="V36" s="13"/>
      <c r="W36" s="13"/>
      <c r="X36" s="13"/>
      <c r="Y36" s="13"/>
      <c r="Z36" s="13"/>
      <c r="AA36" s="13"/>
      <c r="AB36" s="13"/>
    </row>
    <row r="37" spans="1:28" x14ac:dyDescent="0.25">
      <c r="A37" s="2">
        <v>225</v>
      </c>
      <c r="B37" s="2">
        <v>1</v>
      </c>
      <c r="C37" s="2">
        <v>-6.40006151754067E-2</v>
      </c>
      <c r="D37" s="2">
        <v>3.0493846857369201E-2</v>
      </c>
      <c r="E37" s="2">
        <v>3.4614717064739118</v>
      </c>
      <c r="F37" s="2">
        <v>3.4779455091693769</v>
      </c>
      <c r="G37" s="3">
        <f t="shared" si="0"/>
        <v>3.4697086078216444</v>
      </c>
      <c r="H37" s="3">
        <f t="shared" si="1"/>
        <v>8.1538152283808643</v>
      </c>
      <c r="I37" s="2">
        <v>0</v>
      </c>
      <c r="J37" s="2">
        <v>0.8914419198387139</v>
      </c>
      <c r="L37" s="5"/>
      <c r="M37" s="5"/>
      <c r="N37" s="5"/>
      <c r="O37" s="5"/>
      <c r="P37" s="5"/>
      <c r="Q37" s="5"/>
      <c r="R37" s="5"/>
      <c r="S37" s="5"/>
      <c r="U37" s="13"/>
      <c r="V37" s="13"/>
      <c r="W37" s="13"/>
      <c r="X37" s="13"/>
      <c r="Y37" s="13"/>
      <c r="Z37" s="13"/>
      <c r="AA37" s="13"/>
      <c r="AB37" s="13"/>
    </row>
    <row r="38" spans="1:28" x14ac:dyDescent="0.25">
      <c r="A38" s="2">
        <v>230</v>
      </c>
      <c r="B38" s="2">
        <v>1</v>
      </c>
      <c r="C38" s="2">
        <v>0.26140764975008429</v>
      </c>
      <c r="D38" s="2">
        <v>0.16114610419464401</v>
      </c>
      <c r="E38" s="2">
        <v>3.414863555204811</v>
      </c>
      <c r="F38" s="2">
        <v>3.4849520795704438</v>
      </c>
      <c r="G38" s="3">
        <f t="shared" si="0"/>
        <v>3.4499078173876274</v>
      </c>
      <c r="H38" s="3">
        <f t="shared" si="1"/>
        <v>8.1072833708609249</v>
      </c>
      <c r="I38" s="2">
        <v>0</v>
      </c>
      <c r="J38" s="2">
        <v>0.99999999999999634</v>
      </c>
      <c r="L38" s="5"/>
      <c r="M38" s="5"/>
      <c r="N38" s="5"/>
      <c r="O38" s="5"/>
      <c r="P38" s="5"/>
      <c r="Q38" s="5"/>
      <c r="R38" s="5"/>
      <c r="S38" s="5"/>
      <c r="U38" s="13"/>
      <c r="V38" s="13"/>
      <c r="W38" s="13"/>
      <c r="X38" s="13"/>
      <c r="Y38" s="13"/>
      <c r="Z38" s="13"/>
      <c r="AA38" s="13"/>
      <c r="AB38" s="13"/>
    </row>
    <row r="39" spans="1:28" x14ac:dyDescent="0.25">
      <c r="A39" s="2">
        <v>235</v>
      </c>
      <c r="B39" s="2">
        <v>1</v>
      </c>
      <c r="C39" s="2">
        <v>0.2610740541934124</v>
      </c>
      <c r="D39" s="2">
        <v>0.13489631516618361</v>
      </c>
      <c r="E39" s="2">
        <v>3.319593778510046</v>
      </c>
      <c r="F39" s="2">
        <v>3.4345972439895371</v>
      </c>
      <c r="G39" s="3">
        <f t="shared" si="0"/>
        <v>3.3770955112497916</v>
      </c>
      <c r="H39" s="3">
        <f t="shared" si="1"/>
        <v>7.9361744514370107</v>
      </c>
      <c r="I39" s="2">
        <v>0</v>
      </c>
      <c r="J39" s="2">
        <v>0.99999999999291245</v>
      </c>
      <c r="L39" s="5"/>
      <c r="M39" s="5"/>
      <c r="N39" s="5"/>
      <c r="O39" s="5"/>
      <c r="P39" s="5"/>
      <c r="Q39" s="5"/>
      <c r="R39" s="5"/>
      <c r="S39" s="5"/>
      <c r="U39" s="13"/>
      <c r="V39" s="13"/>
      <c r="W39" s="13"/>
      <c r="X39" s="13"/>
      <c r="Y39" s="13"/>
      <c r="Z39" s="13"/>
      <c r="AA39" s="13"/>
      <c r="AB39" s="13"/>
    </row>
    <row r="40" spans="1:28" x14ac:dyDescent="0.25">
      <c r="A40" s="2">
        <v>240</v>
      </c>
      <c r="B40" s="2">
        <v>1</v>
      </c>
      <c r="C40" s="2">
        <v>0.21102257954323589</v>
      </c>
      <c r="D40" s="2">
        <v>0.37367298054064652</v>
      </c>
      <c r="E40" s="2">
        <v>3.2656913377483638</v>
      </c>
      <c r="F40" s="2">
        <v>3.3822788678756122</v>
      </c>
      <c r="G40" s="3">
        <f t="shared" si="0"/>
        <v>3.3239851028119878</v>
      </c>
      <c r="H40" s="3">
        <f t="shared" si="1"/>
        <v>7.8113649916081718</v>
      </c>
      <c r="I40" s="2">
        <v>0</v>
      </c>
      <c r="J40" s="2">
        <v>1</v>
      </c>
      <c r="L40" s="5"/>
      <c r="M40" s="5"/>
      <c r="N40" s="5"/>
      <c r="O40" s="5"/>
      <c r="P40" s="5"/>
      <c r="Q40" s="5"/>
      <c r="R40" s="5"/>
      <c r="S40" s="5"/>
      <c r="U40" s="13"/>
      <c r="V40" s="13"/>
      <c r="W40" s="13"/>
      <c r="X40" s="13"/>
      <c r="Y40" s="13"/>
      <c r="Z40" s="13"/>
      <c r="AA40" s="13"/>
      <c r="AB40" s="13"/>
    </row>
    <row r="41" spans="1:28" x14ac:dyDescent="0.25">
      <c r="A41" s="2">
        <v>245</v>
      </c>
      <c r="B41" s="2">
        <v>1</v>
      </c>
      <c r="C41" s="2">
        <v>9.0575056926741511E-3</v>
      </c>
      <c r="D41" s="2">
        <v>6.4852742614357584E-2</v>
      </c>
      <c r="E41" s="2">
        <v>3.099681002963028</v>
      </c>
      <c r="F41" s="2">
        <v>3.2371274194691351</v>
      </c>
      <c r="G41" s="3">
        <f t="shared" si="0"/>
        <v>3.1684042112160817</v>
      </c>
      <c r="H41" s="3">
        <f t="shared" si="1"/>
        <v>7.4457498963577926</v>
      </c>
      <c r="I41" s="2">
        <v>0</v>
      </c>
      <c r="J41" s="2">
        <v>0.99999999999961509</v>
      </c>
      <c r="L41" s="5"/>
      <c r="M41" s="5"/>
      <c r="N41" s="5"/>
      <c r="O41" s="5"/>
      <c r="P41" s="5"/>
      <c r="Q41" s="5"/>
      <c r="R41" s="5"/>
      <c r="S41" s="5"/>
      <c r="U41" s="13"/>
      <c r="V41" s="13"/>
      <c r="W41" s="13"/>
      <c r="X41" s="13"/>
      <c r="Y41" s="13"/>
      <c r="Z41" s="13"/>
      <c r="AA41" s="13"/>
      <c r="AB41" s="13"/>
    </row>
  </sheetData>
  <mergeCells count="1">
    <mergeCell ref="B4:J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7637A-D1F3-403C-93C2-C0AB1DE9AEDC}">
  <dimension ref="A1:AC41"/>
  <sheetViews>
    <sheetView workbookViewId="0">
      <selection activeCell="A2" sqref="A2"/>
    </sheetView>
  </sheetViews>
  <sheetFormatPr defaultRowHeight="15" x14ac:dyDescent="0.25"/>
  <cols>
    <col min="7" max="8" width="12.85546875" customWidth="1"/>
    <col min="21" max="22" width="19.85546875" bestFit="1" customWidth="1"/>
    <col min="23" max="26" width="20.5703125" bestFit="1" customWidth="1"/>
    <col min="27" max="27" width="19.85546875" bestFit="1" customWidth="1"/>
    <col min="28" max="28" width="20.5703125" bestFit="1" customWidth="1"/>
    <col min="29" max="29" width="18.5703125" bestFit="1" customWidth="1"/>
  </cols>
  <sheetData>
    <row r="1" spans="1:29" x14ac:dyDescent="0.25">
      <c r="A1" t="s">
        <v>50</v>
      </c>
    </row>
    <row r="2" spans="1:29" x14ac:dyDescent="0.25">
      <c r="A2" t="s">
        <v>53</v>
      </c>
    </row>
    <row r="4" spans="1:29" x14ac:dyDescent="0.25">
      <c r="B4" s="25" t="s">
        <v>24</v>
      </c>
      <c r="C4" s="25"/>
      <c r="D4" s="25"/>
      <c r="E4" s="25"/>
      <c r="F4" s="25"/>
      <c r="G4" s="25"/>
      <c r="H4" s="25"/>
      <c r="I4" s="25"/>
      <c r="J4" s="25"/>
    </row>
    <row r="5" spans="1:29" x14ac:dyDescent="0.25">
      <c r="A5" t="s">
        <v>25</v>
      </c>
      <c r="B5" t="s">
        <v>26</v>
      </c>
      <c r="C5" t="s">
        <v>27</v>
      </c>
      <c r="D5" t="s">
        <v>28</v>
      </c>
      <c r="E5" t="s">
        <v>29</v>
      </c>
      <c r="F5" t="s">
        <v>30</v>
      </c>
      <c r="G5" s="1" t="s">
        <v>31</v>
      </c>
      <c r="H5" s="1" t="s">
        <v>65</v>
      </c>
      <c r="I5" t="s">
        <v>32</v>
      </c>
      <c r="J5" t="s">
        <v>26</v>
      </c>
      <c r="L5" s="5"/>
      <c r="M5" s="5"/>
      <c r="N5" s="5"/>
      <c r="O5" s="5"/>
      <c r="P5" s="5"/>
      <c r="Q5" s="5"/>
      <c r="R5" s="5"/>
      <c r="S5" s="5"/>
      <c r="T5" s="5"/>
    </row>
    <row r="6" spans="1:29" x14ac:dyDescent="0.25">
      <c r="A6">
        <v>70</v>
      </c>
      <c r="B6">
        <v>1</v>
      </c>
      <c r="C6">
        <v>0.35563859445348001</v>
      </c>
      <c r="D6">
        <v>0.63536643976851181</v>
      </c>
      <c r="E6">
        <v>5.9309617210368311</v>
      </c>
      <c r="F6">
        <v>6.0243296666008197</v>
      </c>
      <c r="G6" s="1">
        <f>AVERAGE(E6:F6)</f>
        <v>5.9776456938188254</v>
      </c>
      <c r="H6" s="1">
        <f>2.35*G6</f>
        <v>14.04746738047424</v>
      </c>
      <c r="I6">
        <v>0</v>
      </c>
      <c r="J6">
        <v>0.90689517786217233</v>
      </c>
      <c r="L6" s="5"/>
      <c r="M6" s="5"/>
      <c r="N6" s="5"/>
      <c r="O6" s="5"/>
      <c r="P6" s="5"/>
      <c r="Q6" s="5"/>
      <c r="R6" s="5"/>
      <c r="S6" s="5"/>
      <c r="T6" s="5"/>
      <c r="U6" s="14"/>
      <c r="V6" s="14"/>
      <c r="W6" s="14"/>
      <c r="X6" s="14"/>
      <c r="Y6" s="14"/>
      <c r="Z6" s="14"/>
      <c r="AA6" s="14"/>
      <c r="AB6" s="14"/>
      <c r="AC6" s="11"/>
    </row>
    <row r="7" spans="1:29" x14ac:dyDescent="0.25">
      <c r="A7">
        <v>75</v>
      </c>
      <c r="B7">
        <v>1</v>
      </c>
      <c r="C7">
        <v>9.216765087548609E-2</v>
      </c>
      <c r="D7">
        <v>0.33146162355382552</v>
      </c>
      <c r="E7">
        <v>5.7041124638082259</v>
      </c>
      <c r="F7">
        <v>5.7998227897495189</v>
      </c>
      <c r="G7" s="1">
        <f t="shared" ref="G7:G41" si="0">AVERAGE(E7:F7)</f>
        <v>5.7519676267788729</v>
      </c>
      <c r="H7" s="1">
        <f t="shared" ref="H7:H41" si="1">2.35*G7</f>
        <v>13.517123922930352</v>
      </c>
      <c r="I7">
        <v>0</v>
      </c>
      <c r="J7">
        <v>0.96546682455795807</v>
      </c>
      <c r="L7" s="5"/>
      <c r="M7" s="5"/>
      <c r="N7" s="5"/>
      <c r="O7" s="5"/>
      <c r="P7" s="5"/>
      <c r="Q7" s="5"/>
      <c r="R7" s="5"/>
      <c r="S7" s="5"/>
      <c r="T7" s="5"/>
      <c r="U7" s="14"/>
      <c r="V7" s="14"/>
      <c r="W7" s="14"/>
      <c r="X7" s="14"/>
      <c r="Y7" s="14"/>
      <c r="Z7" s="14"/>
      <c r="AA7" s="14"/>
      <c r="AB7" s="14"/>
      <c r="AC7" s="11"/>
    </row>
    <row r="8" spans="1:29" x14ac:dyDescent="0.25">
      <c r="A8">
        <v>80</v>
      </c>
      <c r="B8">
        <v>1</v>
      </c>
      <c r="C8">
        <v>-0.16022341174996771</v>
      </c>
      <c r="D8">
        <v>0.1931555166943105</v>
      </c>
      <c r="E8">
        <v>5.5436057497477558</v>
      </c>
      <c r="F8">
        <v>5.5934313135900657</v>
      </c>
      <c r="G8" s="1">
        <f t="shared" si="0"/>
        <v>5.5685185316689108</v>
      </c>
      <c r="H8" s="1">
        <f t="shared" si="1"/>
        <v>13.08601854942194</v>
      </c>
      <c r="I8">
        <v>0</v>
      </c>
      <c r="J8">
        <v>0.97744727188747471</v>
      </c>
      <c r="L8" s="5"/>
      <c r="M8" s="5"/>
      <c r="N8" s="5"/>
      <c r="O8" s="5"/>
      <c r="P8" s="5"/>
      <c r="Q8" s="5"/>
      <c r="R8" s="5"/>
      <c r="S8" s="5"/>
      <c r="T8" s="5"/>
      <c r="U8" s="14"/>
      <c r="V8" s="14"/>
      <c r="W8" s="14"/>
      <c r="X8" s="14"/>
      <c r="Y8" s="14"/>
      <c r="Z8" s="14"/>
      <c r="AA8" s="14"/>
      <c r="AB8" s="14"/>
      <c r="AC8" s="11"/>
    </row>
    <row r="9" spans="1:29" x14ac:dyDescent="0.25">
      <c r="A9">
        <v>85</v>
      </c>
      <c r="B9">
        <v>1</v>
      </c>
      <c r="C9">
        <v>0.35205600404804088</v>
      </c>
      <c r="D9">
        <v>0.65676316089101006</v>
      </c>
      <c r="E9">
        <v>5.3945340925584304</v>
      </c>
      <c r="F9">
        <v>5.4327515351706221</v>
      </c>
      <c r="G9" s="1">
        <f t="shared" si="0"/>
        <v>5.4136428138645263</v>
      </c>
      <c r="H9" s="1">
        <f t="shared" si="1"/>
        <v>12.722060612581638</v>
      </c>
      <c r="I9">
        <v>0</v>
      </c>
      <c r="J9">
        <v>0.91908478851302133</v>
      </c>
      <c r="L9" s="5"/>
      <c r="M9" s="5"/>
      <c r="N9" s="5"/>
      <c r="O9" s="5"/>
      <c r="P9" s="5"/>
      <c r="Q9" s="5"/>
      <c r="R9" s="5"/>
      <c r="S9" s="5"/>
      <c r="T9" s="5"/>
      <c r="U9" s="14"/>
      <c r="V9" s="14"/>
      <c r="W9" s="14"/>
      <c r="X9" s="14"/>
      <c r="Y9" s="14"/>
      <c r="Z9" s="14"/>
      <c r="AA9" s="14"/>
      <c r="AB9" s="14"/>
      <c r="AC9" s="11"/>
    </row>
    <row r="10" spans="1:29" x14ac:dyDescent="0.25">
      <c r="A10">
        <v>90</v>
      </c>
      <c r="B10">
        <v>1</v>
      </c>
      <c r="C10">
        <v>0.40573709012884213</v>
      </c>
      <c r="D10">
        <v>0.38591349479070458</v>
      </c>
      <c r="E10">
        <v>5.2012403624742607</v>
      </c>
      <c r="F10">
        <v>5.2505999978513387</v>
      </c>
      <c r="G10" s="1">
        <f t="shared" si="0"/>
        <v>5.2259201801627997</v>
      </c>
      <c r="H10" s="1">
        <f t="shared" si="1"/>
        <v>12.280912423382579</v>
      </c>
      <c r="I10">
        <v>0</v>
      </c>
      <c r="J10">
        <v>0.97951423948885274</v>
      </c>
      <c r="L10" s="5"/>
      <c r="M10" s="5"/>
      <c r="N10" s="5"/>
      <c r="O10" s="5"/>
      <c r="P10" s="5"/>
      <c r="Q10" s="5"/>
      <c r="R10" s="5"/>
      <c r="S10" s="5"/>
      <c r="T10" s="5"/>
      <c r="U10" s="14"/>
      <c r="V10" s="14"/>
      <c r="W10" s="14"/>
      <c r="X10" s="14"/>
      <c r="Y10" s="14"/>
      <c r="Z10" s="14"/>
      <c r="AA10" s="14"/>
      <c r="AB10" s="14"/>
      <c r="AC10" s="11"/>
    </row>
    <row r="11" spans="1:29" x14ac:dyDescent="0.25">
      <c r="A11">
        <v>95</v>
      </c>
      <c r="B11">
        <v>1</v>
      </c>
      <c r="C11">
        <v>-0.1011666204751028</v>
      </c>
      <c r="D11">
        <v>0.55334182890586614</v>
      </c>
      <c r="E11">
        <v>5.0448497140425062</v>
      </c>
      <c r="F11">
        <v>5.1064874211757463</v>
      </c>
      <c r="G11" s="1">
        <f t="shared" si="0"/>
        <v>5.0756685676091262</v>
      </c>
      <c r="H11" s="1">
        <f t="shared" si="1"/>
        <v>11.927821133881448</v>
      </c>
      <c r="I11">
        <v>0</v>
      </c>
      <c r="J11">
        <v>0.87209067270285157</v>
      </c>
      <c r="L11" s="5"/>
      <c r="M11" s="5"/>
      <c r="N11" s="5"/>
      <c r="O11" s="5"/>
      <c r="P11" s="5"/>
      <c r="Q11" s="5"/>
      <c r="R11" s="5"/>
      <c r="S11" s="5"/>
      <c r="T11" s="5"/>
      <c r="U11" s="14"/>
      <c r="V11" s="14"/>
      <c r="W11" s="14"/>
      <c r="X11" s="14"/>
      <c r="Y11" s="14"/>
      <c r="Z11" s="14"/>
      <c r="AA11" s="14"/>
      <c r="AB11" s="14"/>
      <c r="AC11" s="11"/>
    </row>
    <row r="12" spans="1:29" x14ac:dyDescent="0.25">
      <c r="A12">
        <v>100</v>
      </c>
      <c r="B12">
        <v>1</v>
      </c>
      <c r="C12">
        <v>7.6595482272476464E-2</v>
      </c>
      <c r="D12">
        <v>0.25371429629758591</v>
      </c>
      <c r="E12">
        <v>4.9413359919489377</v>
      </c>
      <c r="F12">
        <v>5.0253220183411162</v>
      </c>
      <c r="G12" s="1">
        <f t="shared" si="0"/>
        <v>4.983329005145027</v>
      </c>
      <c r="H12" s="1">
        <f t="shared" si="1"/>
        <v>11.710823162090813</v>
      </c>
      <c r="I12">
        <v>0</v>
      </c>
      <c r="J12">
        <v>0.99288031121313203</v>
      </c>
      <c r="L12" s="5"/>
      <c r="M12" s="5"/>
      <c r="N12" s="5"/>
      <c r="O12" s="5"/>
      <c r="P12" s="5"/>
      <c r="Q12" s="5"/>
      <c r="R12" s="5"/>
      <c r="S12" s="5"/>
      <c r="T12" s="5"/>
      <c r="U12" s="14"/>
      <c r="V12" s="14"/>
      <c r="W12" s="14"/>
      <c r="X12" s="14"/>
      <c r="Y12" s="14"/>
      <c r="Z12" s="14"/>
      <c r="AA12" s="14"/>
      <c r="AB12" s="14"/>
      <c r="AC12" s="11"/>
    </row>
    <row r="13" spans="1:29" x14ac:dyDescent="0.25">
      <c r="A13">
        <v>105</v>
      </c>
      <c r="B13">
        <v>1</v>
      </c>
      <c r="C13">
        <v>0.1007670793252885</v>
      </c>
      <c r="D13">
        <v>0.69469748567173983</v>
      </c>
      <c r="E13">
        <v>4.7485547616197108</v>
      </c>
      <c r="F13">
        <v>4.8671112932952489</v>
      </c>
      <c r="G13" s="1">
        <f t="shared" si="0"/>
        <v>4.8078330274574803</v>
      </c>
      <c r="H13" s="1">
        <f t="shared" si="1"/>
        <v>11.298407614525079</v>
      </c>
      <c r="I13">
        <v>0</v>
      </c>
      <c r="J13">
        <v>0.87413001256642309</v>
      </c>
      <c r="L13" s="5"/>
      <c r="M13" s="5"/>
      <c r="N13" s="5"/>
      <c r="O13" s="5"/>
      <c r="P13" s="5"/>
      <c r="Q13" s="5"/>
      <c r="R13" s="5"/>
      <c r="S13" s="5"/>
      <c r="T13" s="5"/>
      <c r="U13" s="14"/>
      <c r="V13" s="14"/>
      <c r="W13" s="14"/>
      <c r="X13" s="14"/>
      <c r="Y13" s="14"/>
      <c r="Z13" s="14"/>
      <c r="AA13" s="14"/>
      <c r="AB13" s="14"/>
      <c r="AC13" s="11"/>
    </row>
    <row r="14" spans="1:29" x14ac:dyDescent="0.25">
      <c r="A14">
        <v>110</v>
      </c>
      <c r="B14">
        <v>1</v>
      </c>
      <c r="C14">
        <v>-0.11134728385243919</v>
      </c>
      <c r="D14">
        <v>3.3152783132607698E-3</v>
      </c>
      <c r="E14">
        <v>4.6344174214991734</v>
      </c>
      <c r="F14">
        <v>4.7907395444367129</v>
      </c>
      <c r="G14" s="1">
        <f t="shared" si="0"/>
        <v>4.7125784829679436</v>
      </c>
      <c r="H14" s="1">
        <f t="shared" si="1"/>
        <v>11.074559434974669</v>
      </c>
      <c r="I14">
        <v>0</v>
      </c>
      <c r="J14">
        <v>0.99410922401046398</v>
      </c>
      <c r="L14" s="5"/>
      <c r="M14" s="5"/>
      <c r="N14" s="5"/>
      <c r="O14" s="5"/>
      <c r="P14" s="5"/>
      <c r="Q14" s="5"/>
      <c r="R14" s="5"/>
      <c r="S14" s="5"/>
      <c r="T14" s="5"/>
      <c r="U14" s="14"/>
      <c r="V14" s="14"/>
      <c r="W14" s="14"/>
      <c r="X14" s="14"/>
      <c r="Y14" s="14"/>
      <c r="Z14" s="14"/>
      <c r="AA14" s="14"/>
      <c r="AB14" s="14"/>
      <c r="AC14" s="11"/>
    </row>
    <row r="15" spans="1:29" x14ac:dyDescent="0.25">
      <c r="A15">
        <v>115</v>
      </c>
      <c r="B15">
        <v>0.99999999999999789</v>
      </c>
      <c r="C15">
        <v>0.12837276805159081</v>
      </c>
      <c r="D15">
        <v>0.30238733182840483</v>
      </c>
      <c r="E15">
        <v>4.4968763557036597</v>
      </c>
      <c r="F15">
        <v>4.6745563873110543</v>
      </c>
      <c r="G15" s="1">
        <f t="shared" si="0"/>
        <v>4.585716371507357</v>
      </c>
      <c r="H15" s="1">
        <f t="shared" si="1"/>
        <v>10.776433473042289</v>
      </c>
      <c r="I15">
        <v>0</v>
      </c>
      <c r="J15">
        <v>0.99433923244650591</v>
      </c>
      <c r="L15" s="5"/>
      <c r="M15" s="5"/>
      <c r="N15" s="5"/>
      <c r="O15" s="5"/>
      <c r="P15" s="5"/>
      <c r="Q15" s="5"/>
      <c r="R15" s="5"/>
      <c r="S15" s="5"/>
      <c r="T15" s="5"/>
      <c r="U15" s="14"/>
      <c r="V15" s="14"/>
      <c r="W15" s="14"/>
      <c r="X15" s="14"/>
      <c r="Y15" s="14"/>
      <c r="Z15" s="14"/>
      <c r="AA15" s="14"/>
      <c r="AB15" s="14"/>
      <c r="AC15" s="11"/>
    </row>
    <row r="16" spans="1:29" x14ac:dyDescent="0.25">
      <c r="A16">
        <v>120</v>
      </c>
      <c r="B16">
        <v>1</v>
      </c>
      <c r="C16">
        <v>9.9169298760981642E-2</v>
      </c>
      <c r="D16">
        <v>0.30403274352943621</v>
      </c>
      <c r="E16">
        <v>4.3876187472997854</v>
      </c>
      <c r="F16">
        <v>4.591421327452875</v>
      </c>
      <c r="G16" s="1">
        <f t="shared" si="0"/>
        <v>4.4895200373763302</v>
      </c>
      <c r="H16" s="1">
        <f t="shared" si="1"/>
        <v>10.550372087834376</v>
      </c>
      <c r="I16">
        <v>0</v>
      </c>
      <c r="J16">
        <v>0.99607624473725809</v>
      </c>
      <c r="L16" s="5"/>
      <c r="M16" s="5"/>
      <c r="N16" s="5"/>
      <c r="O16" s="5"/>
      <c r="P16" s="5"/>
      <c r="Q16" s="5"/>
      <c r="R16" s="5"/>
      <c r="S16" s="5"/>
      <c r="T16" s="5"/>
      <c r="U16" s="14"/>
      <c r="V16" s="14"/>
      <c r="W16" s="14"/>
      <c r="X16" s="14"/>
      <c r="Y16" s="14"/>
      <c r="Z16" s="14"/>
      <c r="AA16" s="14"/>
      <c r="AB16" s="14"/>
      <c r="AC16" s="11"/>
    </row>
    <row r="17" spans="1:29" x14ac:dyDescent="0.25">
      <c r="A17">
        <v>125</v>
      </c>
      <c r="B17">
        <v>1</v>
      </c>
      <c r="C17">
        <v>3.2150130463832097E-2</v>
      </c>
      <c r="D17">
        <v>0.48446087082801481</v>
      </c>
      <c r="E17">
        <v>4.2711401003301228</v>
      </c>
      <c r="F17">
        <v>4.4793161433140094</v>
      </c>
      <c r="G17" s="1">
        <f t="shared" si="0"/>
        <v>4.3752281218220661</v>
      </c>
      <c r="H17" s="1">
        <f t="shared" si="1"/>
        <v>10.281786086281855</v>
      </c>
      <c r="I17">
        <v>0</v>
      </c>
      <c r="J17">
        <v>0.99475910542821788</v>
      </c>
      <c r="L17" s="5"/>
      <c r="M17" s="5"/>
      <c r="N17" s="5"/>
      <c r="O17" s="5"/>
      <c r="P17" s="5"/>
      <c r="Q17" s="5"/>
      <c r="R17" s="5"/>
      <c r="S17" s="5"/>
      <c r="T17" s="5"/>
      <c r="U17" s="14"/>
      <c r="V17" s="14"/>
      <c r="W17" s="14"/>
      <c r="X17" s="14"/>
      <c r="Y17" s="14"/>
      <c r="Z17" s="14"/>
      <c r="AA17" s="14"/>
      <c r="AB17" s="14"/>
      <c r="AC17" s="11"/>
    </row>
    <row r="18" spans="1:29" x14ac:dyDescent="0.25">
      <c r="A18">
        <v>130</v>
      </c>
      <c r="B18">
        <v>0.99999999999999967</v>
      </c>
      <c r="C18">
        <v>0.13681241259507659</v>
      </c>
      <c r="D18">
        <v>0.1733722380510144</v>
      </c>
      <c r="E18">
        <v>4.1738255386132348</v>
      </c>
      <c r="F18">
        <v>4.4005184083912123</v>
      </c>
      <c r="G18" s="1">
        <f t="shared" si="0"/>
        <v>4.2871719735022236</v>
      </c>
      <c r="H18" s="1">
        <f t="shared" si="1"/>
        <v>10.074854137730226</v>
      </c>
      <c r="I18">
        <v>0</v>
      </c>
      <c r="J18">
        <v>0.9959747033485894</v>
      </c>
      <c r="L18" s="5"/>
      <c r="M18" s="5"/>
      <c r="N18" s="5"/>
      <c r="O18" s="5"/>
      <c r="P18" s="5"/>
      <c r="Q18" s="5"/>
      <c r="R18" s="5"/>
      <c r="S18" s="5"/>
      <c r="T18" s="5"/>
      <c r="U18" s="14"/>
      <c r="V18" s="14"/>
      <c r="W18" s="14"/>
      <c r="X18" s="14"/>
      <c r="Y18" s="14"/>
      <c r="Z18" s="14"/>
      <c r="AA18" s="14"/>
      <c r="AB18" s="14"/>
      <c r="AC18" s="11"/>
    </row>
    <row r="19" spans="1:29" x14ac:dyDescent="0.25">
      <c r="A19">
        <v>135</v>
      </c>
      <c r="B19">
        <v>1</v>
      </c>
      <c r="C19">
        <v>0.39068667411495611</v>
      </c>
      <c r="D19">
        <v>0.43593151435318572</v>
      </c>
      <c r="E19">
        <v>4.0702031183616718</v>
      </c>
      <c r="F19">
        <v>4.2891451253891599</v>
      </c>
      <c r="G19" s="1">
        <f t="shared" si="0"/>
        <v>4.1796741218754159</v>
      </c>
      <c r="H19" s="1">
        <f t="shared" si="1"/>
        <v>9.8222341864072273</v>
      </c>
      <c r="I19">
        <v>0</v>
      </c>
      <c r="J19">
        <v>0.99999995115582019</v>
      </c>
      <c r="L19" s="5"/>
      <c r="M19" s="5"/>
      <c r="N19" s="5"/>
      <c r="O19" s="5"/>
      <c r="P19" s="5"/>
      <c r="Q19" s="5"/>
      <c r="R19" s="5"/>
      <c r="S19" s="5"/>
      <c r="T19" s="5"/>
      <c r="U19" s="14"/>
      <c r="V19" s="14"/>
      <c r="W19" s="14"/>
      <c r="X19" s="14"/>
      <c r="Y19" s="14"/>
      <c r="Z19" s="14"/>
      <c r="AA19" s="14"/>
      <c r="AB19" s="14"/>
      <c r="AC19" s="11"/>
    </row>
    <row r="20" spans="1:29" x14ac:dyDescent="0.25">
      <c r="A20">
        <v>140</v>
      </c>
      <c r="B20">
        <v>1</v>
      </c>
      <c r="C20">
        <v>7.4439237263661903E-2</v>
      </c>
      <c r="D20">
        <v>0.2166421761023353</v>
      </c>
      <c r="E20">
        <v>4.0103777520162076</v>
      </c>
      <c r="F20">
        <v>4.2316374528137928</v>
      </c>
      <c r="G20" s="1">
        <f t="shared" si="0"/>
        <v>4.1210076024150002</v>
      </c>
      <c r="H20" s="1">
        <f t="shared" si="1"/>
        <v>9.6843678656752505</v>
      </c>
      <c r="I20">
        <v>0</v>
      </c>
      <c r="J20">
        <v>0.99732773890096016</v>
      </c>
      <c r="L20" s="5"/>
      <c r="M20" s="5"/>
      <c r="N20" s="5"/>
      <c r="O20" s="5"/>
      <c r="P20" s="5"/>
      <c r="Q20" s="5"/>
      <c r="R20" s="5"/>
      <c r="S20" s="5"/>
      <c r="T20" s="5"/>
      <c r="U20" s="14"/>
      <c r="V20" s="14"/>
      <c r="W20" s="14"/>
      <c r="X20" s="14"/>
      <c r="Y20" s="14"/>
      <c r="Z20" s="14"/>
      <c r="AA20" s="14"/>
      <c r="AB20" s="14"/>
      <c r="AC20" s="11"/>
    </row>
    <row r="21" spans="1:29" x14ac:dyDescent="0.25">
      <c r="A21">
        <v>145</v>
      </c>
      <c r="B21">
        <v>1</v>
      </c>
      <c r="C21">
        <v>7.2342027971451492E-2</v>
      </c>
      <c r="D21">
        <v>0.2132525095232724</v>
      </c>
      <c r="E21">
        <v>3.918426499976178</v>
      </c>
      <c r="F21">
        <v>4.1198427209447672</v>
      </c>
      <c r="G21" s="1">
        <f t="shared" si="0"/>
        <v>4.0191346104604726</v>
      </c>
      <c r="H21" s="1">
        <f t="shared" si="1"/>
        <v>9.4449663345821104</v>
      </c>
      <c r="I21">
        <v>0</v>
      </c>
      <c r="J21">
        <v>0.9173910521745402</v>
      </c>
      <c r="L21" s="5"/>
      <c r="M21" s="5"/>
      <c r="N21" s="5"/>
      <c r="O21" s="5"/>
      <c r="P21" s="5"/>
      <c r="Q21" s="5"/>
      <c r="R21" s="5"/>
      <c r="S21" s="5"/>
      <c r="T21" s="5"/>
      <c r="U21" s="14"/>
      <c r="V21" s="14"/>
      <c r="W21" s="14"/>
      <c r="X21" s="14"/>
      <c r="Y21" s="14"/>
      <c r="Z21" s="14"/>
      <c r="AA21" s="14"/>
      <c r="AB21" s="14"/>
      <c r="AC21" s="11"/>
    </row>
    <row r="22" spans="1:29" x14ac:dyDescent="0.25">
      <c r="A22">
        <v>150</v>
      </c>
      <c r="B22">
        <v>1</v>
      </c>
      <c r="C22">
        <v>1.8446005240570919E-2</v>
      </c>
      <c r="D22">
        <v>0.21912443625135589</v>
      </c>
      <c r="E22">
        <v>3.8877175422493351</v>
      </c>
      <c r="F22">
        <v>4.0782928664072982</v>
      </c>
      <c r="G22" s="1">
        <f t="shared" si="0"/>
        <v>3.9830052043283164</v>
      </c>
      <c r="H22" s="1">
        <f t="shared" si="1"/>
        <v>9.3600622301715433</v>
      </c>
      <c r="I22">
        <v>0</v>
      </c>
      <c r="J22">
        <v>0.9974354900778305</v>
      </c>
      <c r="L22" s="5"/>
      <c r="M22" s="5"/>
      <c r="N22" s="5"/>
      <c r="O22" s="5"/>
      <c r="P22" s="5"/>
      <c r="Q22" s="5"/>
      <c r="R22" s="5"/>
      <c r="S22" s="5"/>
      <c r="T22" s="5"/>
      <c r="U22" s="14"/>
      <c r="V22" s="14"/>
      <c r="W22" s="14"/>
      <c r="X22" s="14"/>
      <c r="Y22" s="14"/>
      <c r="Z22" s="14"/>
      <c r="AA22" s="14"/>
      <c r="AB22" s="14"/>
      <c r="AC22" s="11"/>
    </row>
    <row r="23" spans="1:29" x14ac:dyDescent="0.25">
      <c r="A23">
        <v>155</v>
      </c>
      <c r="B23">
        <v>1</v>
      </c>
      <c r="C23">
        <v>7.4732540220662544E-2</v>
      </c>
      <c r="D23">
        <v>0.38463828099908459</v>
      </c>
      <c r="E23">
        <v>3.8397416695622471</v>
      </c>
      <c r="F23">
        <v>4.0127432991862904</v>
      </c>
      <c r="G23" s="1">
        <f t="shared" si="0"/>
        <v>3.9262424843742689</v>
      </c>
      <c r="H23" s="1">
        <f t="shared" si="1"/>
        <v>9.2266698382795322</v>
      </c>
      <c r="I23">
        <v>0</v>
      </c>
      <c r="J23">
        <v>0.93077526558148083</v>
      </c>
      <c r="L23" s="5"/>
      <c r="M23" s="5"/>
      <c r="N23" s="5"/>
      <c r="O23" s="5"/>
      <c r="P23" s="5"/>
      <c r="Q23" s="5"/>
      <c r="R23" s="5"/>
      <c r="S23" s="5"/>
      <c r="T23" s="5"/>
      <c r="U23" s="14"/>
      <c r="V23" s="14"/>
      <c r="W23" s="14"/>
      <c r="X23" s="14"/>
      <c r="Y23" s="14"/>
      <c r="Z23" s="14"/>
      <c r="AA23" s="14"/>
      <c r="AB23" s="14"/>
      <c r="AC23" s="11"/>
    </row>
    <row r="24" spans="1:29" x14ac:dyDescent="0.25">
      <c r="A24">
        <v>160</v>
      </c>
      <c r="B24">
        <v>1</v>
      </c>
      <c r="C24">
        <v>6.9419824134453786E-2</v>
      </c>
      <c r="D24">
        <v>0.34943035619244639</v>
      </c>
      <c r="E24">
        <v>3.7629255507836028</v>
      </c>
      <c r="F24">
        <v>3.9061547991572438</v>
      </c>
      <c r="G24" s="1">
        <f t="shared" si="0"/>
        <v>3.8345401749704235</v>
      </c>
      <c r="H24" s="1">
        <f t="shared" si="1"/>
        <v>9.0111694111804965</v>
      </c>
      <c r="I24">
        <v>0</v>
      </c>
      <c r="J24">
        <v>0.99493916982707209</v>
      </c>
      <c r="L24" s="5"/>
      <c r="M24" s="5"/>
      <c r="N24" s="5"/>
      <c r="O24" s="5"/>
      <c r="P24" s="5"/>
      <c r="Q24" s="5"/>
      <c r="R24" s="5"/>
      <c r="S24" s="5"/>
      <c r="T24" s="5"/>
      <c r="U24" s="14"/>
      <c r="V24" s="14"/>
      <c r="W24" s="14"/>
      <c r="X24" s="14"/>
      <c r="Y24" s="14"/>
      <c r="Z24" s="14"/>
      <c r="AA24" s="14"/>
      <c r="AB24" s="14"/>
      <c r="AC24" s="11"/>
    </row>
    <row r="25" spans="1:29" x14ac:dyDescent="0.25">
      <c r="A25">
        <v>165</v>
      </c>
      <c r="B25">
        <v>1</v>
      </c>
      <c r="C25">
        <v>-1.5845256193034719E-2</v>
      </c>
      <c r="D25">
        <v>0.20716808495742289</v>
      </c>
      <c r="E25">
        <v>3.7492773114892461</v>
      </c>
      <c r="F25">
        <v>3.869950296523446</v>
      </c>
      <c r="G25" s="1">
        <f t="shared" si="0"/>
        <v>3.8096138040063461</v>
      </c>
      <c r="H25" s="1">
        <f t="shared" si="1"/>
        <v>8.9525924394149143</v>
      </c>
      <c r="I25">
        <v>0</v>
      </c>
      <c r="J25">
        <v>0.94242848497271248</v>
      </c>
      <c r="L25" s="5"/>
      <c r="M25" s="5"/>
      <c r="N25" s="5"/>
      <c r="O25" s="5"/>
      <c r="P25" s="5"/>
      <c r="Q25" s="5"/>
      <c r="R25" s="5"/>
      <c r="S25" s="5"/>
      <c r="T25" s="5"/>
      <c r="U25" s="14"/>
      <c r="V25" s="14"/>
      <c r="W25" s="14"/>
      <c r="X25" s="14"/>
      <c r="Y25" s="14"/>
      <c r="Z25" s="14"/>
      <c r="AA25" s="14"/>
      <c r="AB25" s="14"/>
      <c r="AC25" s="11"/>
    </row>
    <row r="26" spans="1:29" x14ac:dyDescent="0.25">
      <c r="A26">
        <v>170</v>
      </c>
      <c r="B26">
        <v>1</v>
      </c>
      <c r="C26">
        <v>-1.442645373745367E-2</v>
      </c>
      <c r="D26">
        <v>0.42761596246967037</v>
      </c>
      <c r="E26">
        <v>3.695019156102564</v>
      </c>
      <c r="F26">
        <v>3.7944090990767951</v>
      </c>
      <c r="G26" s="1">
        <f t="shared" si="0"/>
        <v>3.7447141275896794</v>
      </c>
      <c r="H26" s="1">
        <f t="shared" si="1"/>
        <v>8.8000781998357471</v>
      </c>
      <c r="I26">
        <v>0</v>
      </c>
      <c r="J26">
        <v>0.99803968871101278</v>
      </c>
      <c r="L26" s="5"/>
      <c r="M26" s="5"/>
      <c r="N26" s="5"/>
      <c r="O26" s="5"/>
      <c r="P26" s="5"/>
      <c r="Q26" s="5"/>
      <c r="R26" s="5"/>
      <c r="S26" s="5"/>
      <c r="T26" s="5"/>
      <c r="U26" s="14"/>
      <c r="V26" s="14"/>
      <c r="W26" s="14"/>
      <c r="X26" s="14"/>
      <c r="Y26" s="14"/>
      <c r="Z26" s="14"/>
      <c r="AA26" s="14"/>
      <c r="AB26" s="14"/>
      <c r="AC26" s="11"/>
    </row>
    <row r="27" spans="1:29" x14ac:dyDescent="0.25">
      <c r="A27">
        <v>175</v>
      </c>
      <c r="B27">
        <v>1</v>
      </c>
      <c r="C27">
        <v>8.8707807560335736E-2</v>
      </c>
      <c r="D27">
        <v>0.37041816602694488</v>
      </c>
      <c r="E27">
        <v>3.6646823271953242</v>
      </c>
      <c r="F27">
        <v>3.7597481689903129</v>
      </c>
      <c r="G27" s="1">
        <f t="shared" si="0"/>
        <v>3.7122152480928188</v>
      </c>
      <c r="H27" s="1">
        <f t="shared" si="1"/>
        <v>8.7237058330181245</v>
      </c>
      <c r="I27">
        <v>0</v>
      </c>
      <c r="J27">
        <v>0.99823709593090904</v>
      </c>
      <c r="L27" s="5"/>
      <c r="M27" s="5"/>
      <c r="N27" s="5"/>
      <c r="O27" s="5"/>
      <c r="P27" s="5"/>
      <c r="Q27" s="5"/>
      <c r="R27" s="5"/>
      <c r="S27" s="5"/>
      <c r="T27" s="5"/>
      <c r="U27" s="14"/>
      <c r="V27" s="14"/>
      <c r="W27" s="14"/>
      <c r="X27" s="14"/>
      <c r="Y27" s="14"/>
      <c r="Z27" s="14"/>
      <c r="AA27" s="14"/>
      <c r="AB27" s="14"/>
      <c r="AC27" s="11"/>
    </row>
    <row r="28" spans="1:29" x14ac:dyDescent="0.25">
      <c r="A28">
        <v>180</v>
      </c>
      <c r="B28">
        <v>1</v>
      </c>
      <c r="C28">
        <v>-8.8200660427755054E-2</v>
      </c>
      <c r="D28">
        <v>0.29218010202368228</v>
      </c>
      <c r="E28">
        <v>3.610279157086012</v>
      </c>
      <c r="F28">
        <v>3.7006971777747171</v>
      </c>
      <c r="G28" s="1">
        <f t="shared" si="0"/>
        <v>3.6554881674303648</v>
      </c>
      <c r="H28" s="1">
        <f t="shared" si="1"/>
        <v>8.5903971934613583</v>
      </c>
      <c r="I28">
        <v>0</v>
      </c>
      <c r="J28">
        <v>0.99764824365128446</v>
      </c>
      <c r="L28" s="5"/>
      <c r="M28" s="5"/>
      <c r="N28" s="5"/>
      <c r="O28" s="5"/>
      <c r="P28" s="5"/>
      <c r="Q28" s="5"/>
      <c r="R28" s="5"/>
      <c r="S28" s="5"/>
      <c r="T28" s="5"/>
      <c r="U28" s="14"/>
      <c r="V28" s="14"/>
      <c r="W28" s="14"/>
      <c r="X28" s="14"/>
      <c r="Y28" s="14"/>
      <c r="Z28" s="14"/>
      <c r="AA28" s="14"/>
      <c r="AB28" s="14"/>
      <c r="AC28" s="11"/>
    </row>
    <row r="29" spans="1:29" x14ac:dyDescent="0.25">
      <c r="A29">
        <v>185</v>
      </c>
      <c r="B29">
        <v>1</v>
      </c>
      <c r="C29">
        <v>7.9357859449129212E-3</v>
      </c>
      <c r="D29">
        <v>0.19042679635841439</v>
      </c>
      <c r="E29">
        <v>3.540059841606146</v>
      </c>
      <c r="F29">
        <v>3.6471620031050471</v>
      </c>
      <c r="G29" s="1">
        <f t="shared" si="0"/>
        <v>3.5936109223555963</v>
      </c>
      <c r="H29" s="1">
        <f t="shared" si="1"/>
        <v>8.4449856675356525</v>
      </c>
      <c r="I29">
        <v>0</v>
      </c>
      <c r="J29">
        <v>0.99725074134226022</v>
      </c>
      <c r="L29" s="5"/>
      <c r="M29" s="5"/>
      <c r="N29" s="5"/>
      <c r="O29" s="5"/>
      <c r="P29" s="5"/>
      <c r="Q29" s="5"/>
      <c r="R29" s="5"/>
      <c r="S29" s="5"/>
      <c r="T29" s="5"/>
      <c r="U29" s="14"/>
      <c r="V29" s="14"/>
      <c r="W29" s="14"/>
      <c r="X29" s="14"/>
      <c r="Y29" s="14"/>
      <c r="Z29" s="14"/>
      <c r="AA29" s="14"/>
      <c r="AB29" s="14"/>
      <c r="AC29" s="11"/>
    </row>
    <row r="30" spans="1:29" x14ac:dyDescent="0.25">
      <c r="A30">
        <v>190</v>
      </c>
      <c r="B30">
        <v>1</v>
      </c>
      <c r="C30">
        <v>2.8619189633410109E-2</v>
      </c>
      <c r="D30">
        <v>0.21635389453412501</v>
      </c>
      <c r="E30">
        <v>3.5034459591350591</v>
      </c>
      <c r="F30">
        <v>3.620332938902016</v>
      </c>
      <c r="G30" s="1">
        <f t="shared" si="0"/>
        <v>3.5618894490185378</v>
      </c>
      <c r="H30" s="1">
        <f t="shared" si="1"/>
        <v>8.3704402051935638</v>
      </c>
      <c r="I30">
        <v>0</v>
      </c>
      <c r="J30">
        <v>0.99856430960014497</v>
      </c>
      <c r="L30" s="5"/>
      <c r="M30" s="5"/>
      <c r="N30" s="5"/>
      <c r="O30" s="5"/>
      <c r="P30" s="5"/>
      <c r="Q30" s="5"/>
      <c r="R30" s="5"/>
      <c r="S30" s="5"/>
      <c r="T30" s="5"/>
      <c r="U30" s="14"/>
      <c r="V30" s="14"/>
      <c r="W30" s="14"/>
      <c r="X30" s="14"/>
      <c r="Y30" s="14"/>
      <c r="Z30" s="14"/>
      <c r="AA30" s="14"/>
      <c r="AB30" s="14"/>
      <c r="AC30" s="11"/>
    </row>
    <row r="31" spans="1:29" x14ac:dyDescent="0.25">
      <c r="A31">
        <v>195</v>
      </c>
      <c r="B31">
        <v>1</v>
      </c>
      <c r="C31">
        <v>0.23055170110378059</v>
      </c>
      <c r="D31">
        <v>0.16678607150552471</v>
      </c>
      <c r="E31">
        <v>3.473611171845346</v>
      </c>
      <c r="F31">
        <v>3.610953861951689</v>
      </c>
      <c r="G31" s="1">
        <f t="shared" si="0"/>
        <v>3.5422825168985175</v>
      </c>
      <c r="H31" s="1">
        <f t="shared" si="1"/>
        <v>8.3243639147115172</v>
      </c>
      <c r="I31">
        <v>0</v>
      </c>
      <c r="J31">
        <v>0.99913568308994805</v>
      </c>
      <c r="L31" s="5"/>
      <c r="M31" s="5"/>
      <c r="N31" s="5"/>
      <c r="O31" s="5"/>
      <c r="P31" s="5"/>
      <c r="Q31" s="5"/>
      <c r="R31" s="5"/>
      <c r="S31" s="5"/>
      <c r="T31" s="5"/>
      <c r="U31" s="14"/>
      <c r="V31" s="14"/>
      <c r="W31" s="14"/>
      <c r="X31" s="14"/>
      <c r="Y31" s="14"/>
      <c r="Z31" s="14"/>
      <c r="AA31" s="14"/>
      <c r="AB31" s="14"/>
      <c r="AC31" s="11"/>
    </row>
    <row r="32" spans="1:29" x14ac:dyDescent="0.25">
      <c r="A32">
        <v>200</v>
      </c>
      <c r="B32">
        <v>1</v>
      </c>
      <c r="C32">
        <v>0.12240955357331811</v>
      </c>
      <c r="D32">
        <v>-5.5145081286260373E-3</v>
      </c>
      <c r="E32">
        <v>3.405109787102496</v>
      </c>
      <c r="F32">
        <v>3.5630752971372361</v>
      </c>
      <c r="G32" s="1">
        <f t="shared" si="0"/>
        <v>3.4840925421198659</v>
      </c>
      <c r="H32" s="1">
        <f t="shared" si="1"/>
        <v>8.1876174739816854</v>
      </c>
      <c r="I32">
        <v>0</v>
      </c>
      <c r="J32">
        <v>0.99658841934063835</v>
      </c>
      <c r="L32" s="5"/>
      <c r="M32" s="5"/>
      <c r="N32" s="5"/>
      <c r="O32" s="5"/>
      <c r="P32" s="5"/>
      <c r="Q32" s="5"/>
      <c r="R32" s="5"/>
      <c r="S32" s="5"/>
      <c r="T32" s="5"/>
      <c r="U32" s="14"/>
      <c r="V32" s="14"/>
      <c r="W32" s="14"/>
      <c r="X32" s="14"/>
      <c r="Y32" s="14"/>
      <c r="Z32" s="14"/>
      <c r="AA32" s="14"/>
      <c r="AB32" s="14"/>
      <c r="AC32" s="11"/>
    </row>
    <row r="33" spans="1:29" x14ac:dyDescent="0.25">
      <c r="A33">
        <v>205</v>
      </c>
      <c r="B33">
        <v>1</v>
      </c>
      <c r="C33">
        <v>4.0101487512660711E-2</v>
      </c>
      <c r="D33">
        <v>0.12734268603704349</v>
      </c>
      <c r="E33">
        <v>3.338358427407131</v>
      </c>
      <c r="F33">
        <v>3.51838864270694</v>
      </c>
      <c r="G33" s="1">
        <f t="shared" si="0"/>
        <v>3.4283735350570357</v>
      </c>
      <c r="H33" s="1">
        <f t="shared" si="1"/>
        <v>8.0566778073840339</v>
      </c>
      <c r="I33">
        <v>0</v>
      </c>
      <c r="J33">
        <v>0.98861369699719881</v>
      </c>
      <c r="L33" s="5"/>
      <c r="M33" s="5"/>
      <c r="N33" s="5"/>
      <c r="O33" s="5"/>
      <c r="P33" s="5"/>
      <c r="Q33" s="5"/>
      <c r="R33" s="5"/>
      <c r="S33" s="5"/>
      <c r="T33" s="5"/>
      <c r="U33" s="14"/>
      <c r="V33" s="14"/>
      <c r="W33" s="14"/>
      <c r="X33" s="14"/>
      <c r="Y33" s="14"/>
      <c r="Z33" s="14"/>
      <c r="AA33" s="14"/>
      <c r="AB33" s="14"/>
      <c r="AC33" s="11"/>
    </row>
    <row r="34" spans="1:29" x14ac:dyDescent="0.25">
      <c r="A34">
        <v>210</v>
      </c>
      <c r="B34">
        <v>1</v>
      </c>
      <c r="C34">
        <v>0.13248333978582019</v>
      </c>
      <c r="D34">
        <v>8.6798106417427509E-2</v>
      </c>
      <c r="E34">
        <v>3.3202826755237069</v>
      </c>
      <c r="F34">
        <v>3.5330849319840971</v>
      </c>
      <c r="G34" s="1">
        <f t="shared" si="0"/>
        <v>3.4266838037539022</v>
      </c>
      <c r="H34" s="1">
        <f t="shared" si="1"/>
        <v>8.0527069388216699</v>
      </c>
      <c r="I34">
        <v>0</v>
      </c>
      <c r="J34">
        <v>0.99859202765546062</v>
      </c>
      <c r="L34" s="5"/>
      <c r="M34" s="5"/>
      <c r="N34" s="5"/>
      <c r="O34" s="5"/>
      <c r="P34" s="5"/>
      <c r="Q34" s="5"/>
      <c r="R34" s="5"/>
      <c r="S34" s="5"/>
      <c r="T34" s="5"/>
      <c r="U34" s="14"/>
      <c r="V34" s="14"/>
      <c r="W34" s="14"/>
      <c r="X34" s="14"/>
      <c r="Y34" s="14"/>
      <c r="Z34" s="14"/>
      <c r="AA34" s="14"/>
      <c r="AB34" s="14"/>
      <c r="AC34" s="11"/>
    </row>
    <row r="35" spans="1:29" x14ac:dyDescent="0.25">
      <c r="A35">
        <v>215</v>
      </c>
      <c r="B35">
        <v>1</v>
      </c>
      <c r="C35">
        <v>-1.9578777405297131E-2</v>
      </c>
      <c r="D35">
        <v>0.36658495041998718</v>
      </c>
      <c r="E35">
        <v>3.2798908195177399</v>
      </c>
      <c r="F35">
        <v>3.507380083772544</v>
      </c>
      <c r="G35" s="1">
        <f t="shared" si="0"/>
        <v>3.3936354516451419</v>
      </c>
      <c r="H35" s="1">
        <f t="shared" si="1"/>
        <v>7.9750433113660835</v>
      </c>
      <c r="I35">
        <v>0</v>
      </c>
      <c r="J35">
        <v>0.99572845354895667</v>
      </c>
      <c r="L35" s="5"/>
      <c r="M35" s="5"/>
      <c r="N35" s="5"/>
      <c r="O35" s="5"/>
      <c r="P35" s="5"/>
      <c r="Q35" s="5"/>
      <c r="R35" s="5"/>
      <c r="S35" s="5"/>
      <c r="T35" s="5"/>
      <c r="U35" s="14"/>
      <c r="V35" s="14"/>
      <c r="W35" s="14"/>
      <c r="X35" s="14"/>
      <c r="Y35" s="14"/>
      <c r="Z35" s="14"/>
      <c r="AA35" s="14"/>
      <c r="AB35" s="14"/>
      <c r="AC35" s="11"/>
    </row>
    <row r="36" spans="1:29" x14ac:dyDescent="0.25">
      <c r="A36">
        <v>220</v>
      </c>
      <c r="B36">
        <v>0.99999999999909051</v>
      </c>
      <c r="C36">
        <v>2.5466892667988839E-2</v>
      </c>
      <c r="D36">
        <v>0.121104161040959</v>
      </c>
      <c r="E36">
        <v>3.2209344869868488</v>
      </c>
      <c r="F36">
        <v>3.4621502671992519</v>
      </c>
      <c r="G36" s="1">
        <f t="shared" si="0"/>
        <v>3.3415423770930506</v>
      </c>
      <c r="H36" s="1">
        <f t="shared" si="1"/>
        <v>7.8526245861686688</v>
      </c>
      <c r="I36">
        <v>0</v>
      </c>
      <c r="J36">
        <v>0.97886194696932316</v>
      </c>
      <c r="L36" s="5"/>
      <c r="M36" s="5"/>
      <c r="N36" s="5"/>
      <c r="O36" s="5"/>
      <c r="P36" s="5"/>
      <c r="Q36" s="5"/>
      <c r="R36" s="5"/>
      <c r="S36" s="5"/>
      <c r="T36" s="5"/>
      <c r="U36" s="14"/>
      <c r="V36" s="14"/>
      <c r="W36" s="14"/>
      <c r="X36" s="14"/>
      <c r="Y36" s="14"/>
      <c r="Z36" s="14"/>
      <c r="AA36" s="14"/>
      <c r="AB36" s="14"/>
      <c r="AC36" s="11"/>
    </row>
    <row r="37" spans="1:29" x14ac:dyDescent="0.25">
      <c r="A37">
        <v>225</v>
      </c>
      <c r="B37">
        <v>1</v>
      </c>
      <c r="C37">
        <v>0.17968294799584761</v>
      </c>
      <c r="D37">
        <v>0.166593335618863</v>
      </c>
      <c r="E37">
        <v>3.2022088992748592</v>
      </c>
      <c r="F37">
        <v>3.4536854982517231</v>
      </c>
      <c r="G37" s="1">
        <f t="shared" si="0"/>
        <v>3.3279471987632911</v>
      </c>
      <c r="H37" s="1">
        <f t="shared" si="1"/>
        <v>7.8206759170937348</v>
      </c>
      <c r="I37">
        <v>0</v>
      </c>
      <c r="J37">
        <v>1</v>
      </c>
      <c r="L37" s="5"/>
      <c r="M37" s="5"/>
      <c r="N37" s="5"/>
      <c r="O37" s="5"/>
      <c r="P37" s="5"/>
      <c r="Q37" s="5"/>
      <c r="R37" s="5"/>
      <c r="S37" s="5"/>
      <c r="T37" s="5"/>
      <c r="U37" s="14"/>
      <c r="V37" s="14"/>
      <c r="W37" s="14"/>
      <c r="X37" s="14"/>
      <c r="Y37" s="14"/>
      <c r="Z37" s="14"/>
      <c r="AA37" s="14"/>
      <c r="AB37" s="14"/>
      <c r="AC37" s="11"/>
    </row>
    <row r="38" spans="1:29" x14ac:dyDescent="0.25">
      <c r="A38">
        <v>230</v>
      </c>
      <c r="B38">
        <v>0.99999999999999045</v>
      </c>
      <c r="C38">
        <v>0.16180981478626971</v>
      </c>
      <c r="D38">
        <v>0.17133772039786649</v>
      </c>
      <c r="E38">
        <v>3.17088177813201</v>
      </c>
      <c r="F38">
        <v>3.420535999244612</v>
      </c>
      <c r="G38" s="1">
        <f t="shared" si="0"/>
        <v>3.2957088886883108</v>
      </c>
      <c r="H38" s="1">
        <f t="shared" si="1"/>
        <v>7.7449158884175304</v>
      </c>
      <c r="I38">
        <v>0</v>
      </c>
      <c r="J38">
        <v>1</v>
      </c>
      <c r="L38" s="5"/>
      <c r="M38" s="5"/>
      <c r="N38" s="5"/>
      <c r="O38" s="5"/>
      <c r="P38" s="5"/>
      <c r="Q38" s="5"/>
      <c r="R38" s="5"/>
      <c r="S38" s="5"/>
      <c r="T38" s="5"/>
      <c r="U38" s="14"/>
      <c r="V38" s="14"/>
      <c r="W38" s="14"/>
      <c r="X38" s="14"/>
      <c r="Y38" s="14"/>
      <c r="Z38" s="14"/>
      <c r="AA38" s="14"/>
      <c r="AB38" s="14"/>
      <c r="AC38" s="11"/>
    </row>
    <row r="39" spans="1:29" x14ac:dyDescent="0.25">
      <c r="A39">
        <v>235</v>
      </c>
      <c r="B39">
        <v>1</v>
      </c>
      <c r="C39">
        <v>0.40281249755205117</v>
      </c>
      <c r="D39">
        <v>0.2114670733498944</v>
      </c>
      <c r="E39">
        <v>3.1505531548504928</v>
      </c>
      <c r="F39">
        <v>3.3730025089647842</v>
      </c>
      <c r="G39" s="1">
        <f t="shared" si="0"/>
        <v>3.2617778319076383</v>
      </c>
      <c r="H39" s="1">
        <f t="shared" si="1"/>
        <v>7.6651779049829498</v>
      </c>
      <c r="I39">
        <v>0</v>
      </c>
      <c r="J39">
        <v>0.99515701520562827</v>
      </c>
      <c r="L39" s="5"/>
      <c r="M39" s="5"/>
      <c r="N39" s="5"/>
      <c r="O39" s="5"/>
      <c r="P39" s="5"/>
      <c r="Q39" s="5"/>
      <c r="R39" s="5"/>
      <c r="S39" s="5"/>
      <c r="T39" s="5"/>
      <c r="U39" s="14"/>
      <c r="V39" s="14"/>
      <c r="W39" s="14"/>
      <c r="X39" s="14"/>
      <c r="Y39" s="14"/>
      <c r="Z39" s="14"/>
      <c r="AA39" s="14"/>
      <c r="AB39" s="14"/>
      <c r="AC39" s="11"/>
    </row>
    <row r="40" spans="1:29" x14ac:dyDescent="0.25">
      <c r="A40">
        <v>240</v>
      </c>
      <c r="B40">
        <v>1</v>
      </c>
      <c r="C40">
        <v>0.16121298180878829</v>
      </c>
      <c r="D40">
        <v>8.1460615702997147E-2</v>
      </c>
      <c r="E40">
        <v>3.1140387478509211</v>
      </c>
      <c r="F40">
        <v>3.2561170240909481</v>
      </c>
      <c r="G40" s="1">
        <f t="shared" si="0"/>
        <v>3.1850778859709346</v>
      </c>
      <c r="H40" s="1">
        <f t="shared" si="1"/>
        <v>7.4849330320316962</v>
      </c>
      <c r="I40">
        <v>0</v>
      </c>
      <c r="J40">
        <v>0.99467910879181132</v>
      </c>
      <c r="L40" s="5"/>
      <c r="M40" s="5"/>
      <c r="N40" s="5"/>
      <c r="O40" s="5"/>
      <c r="P40" s="5"/>
      <c r="Q40" s="5"/>
      <c r="R40" s="5"/>
      <c r="S40" s="5"/>
      <c r="T40" s="5"/>
      <c r="U40" s="14"/>
      <c r="V40" s="14"/>
      <c r="W40" s="14"/>
      <c r="X40" s="14"/>
      <c r="Y40" s="14"/>
      <c r="Z40" s="14"/>
      <c r="AA40" s="14"/>
      <c r="AB40" s="14"/>
      <c r="AC40" s="11"/>
    </row>
    <row r="41" spans="1:29" x14ac:dyDescent="0.25">
      <c r="A41">
        <v>245</v>
      </c>
      <c r="B41">
        <v>1</v>
      </c>
      <c r="C41">
        <v>7.1289120940330492E-2</v>
      </c>
      <c r="D41">
        <v>0.24502368005643951</v>
      </c>
      <c r="E41">
        <v>2.9593507325883248</v>
      </c>
      <c r="F41">
        <v>3.0595896129104139</v>
      </c>
      <c r="G41" s="1">
        <f t="shared" si="0"/>
        <v>3.0094701727493693</v>
      </c>
      <c r="H41" s="1">
        <f t="shared" si="1"/>
        <v>7.0722549059610182</v>
      </c>
      <c r="I41">
        <v>0</v>
      </c>
      <c r="J41">
        <v>0.99590012533601491</v>
      </c>
      <c r="L41" s="5"/>
      <c r="M41" s="5"/>
      <c r="N41" s="5"/>
      <c r="O41" s="5"/>
      <c r="P41" s="5"/>
      <c r="Q41" s="5"/>
      <c r="R41" s="5"/>
      <c r="S41" s="5"/>
      <c r="T41" s="5"/>
      <c r="U41" s="14"/>
      <c r="V41" s="14"/>
      <c r="W41" s="14"/>
      <c r="X41" s="14"/>
      <c r="Y41" s="14"/>
      <c r="Z41" s="14"/>
      <c r="AA41" s="14"/>
      <c r="AB41" s="14"/>
      <c r="AC41" s="11"/>
    </row>
  </sheetData>
  <mergeCells count="1">
    <mergeCell ref="B4:J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E45C-F092-42C0-A162-3C3325E2B433}">
  <dimension ref="A1:AB41"/>
  <sheetViews>
    <sheetView workbookViewId="0">
      <selection activeCell="A2" sqref="A2"/>
    </sheetView>
  </sheetViews>
  <sheetFormatPr defaultRowHeight="15" x14ac:dyDescent="0.25"/>
  <cols>
    <col min="7" max="8" width="15" customWidth="1"/>
    <col min="21" max="22" width="18.85546875" bestFit="1" customWidth="1"/>
    <col min="23" max="26" width="19.5703125" bestFit="1" customWidth="1"/>
    <col min="27" max="27" width="18.85546875" bestFit="1" customWidth="1"/>
    <col min="28" max="28" width="19.5703125" bestFit="1" customWidth="1"/>
  </cols>
  <sheetData>
    <row r="1" spans="1:28" x14ac:dyDescent="0.25">
      <c r="A1" t="s">
        <v>50</v>
      </c>
    </row>
    <row r="2" spans="1:28" x14ac:dyDescent="0.25">
      <c r="A2" t="s">
        <v>54</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1</v>
      </c>
      <c r="C6">
        <v>8.0950531814607929E-2</v>
      </c>
      <c r="D6">
        <v>0.56705734107719008</v>
      </c>
      <c r="E6">
        <v>5.9135729886630441</v>
      </c>
      <c r="F6">
        <v>6.0003663389022908</v>
      </c>
      <c r="G6" s="1">
        <f>AVERAGE(E6:F6)</f>
        <v>5.956969663782667</v>
      </c>
      <c r="H6" s="1">
        <f>2.35*G6</f>
        <v>13.998878709889269</v>
      </c>
      <c r="I6">
        <v>0</v>
      </c>
      <c r="J6">
        <v>0.90212420670603921</v>
      </c>
      <c r="L6" s="5"/>
      <c r="M6" s="5"/>
      <c r="N6" s="5"/>
      <c r="O6" s="5"/>
      <c r="P6" s="5"/>
      <c r="Q6" s="5"/>
      <c r="R6" s="5"/>
      <c r="S6" s="5"/>
      <c r="U6" s="13"/>
      <c r="V6" s="13"/>
      <c r="W6" s="13"/>
      <c r="X6" s="13"/>
      <c r="Y6" s="13"/>
      <c r="Z6" s="13"/>
      <c r="AA6" s="13"/>
      <c r="AB6" s="13"/>
    </row>
    <row r="7" spans="1:28" x14ac:dyDescent="0.25">
      <c r="A7">
        <v>75</v>
      </c>
      <c r="B7">
        <v>1</v>
      </c>
      <c r="C7">
        <v>0.15051665180861881</v>
      </c>
      <c r="D7">
        <v>0.58342396119550899</v>
      </c>
      <c r="E7">
        <v>5.8089245521012636</v>
      </c>
      <c r="F7">
        <v>5.7961721777234558</v>
      </c>
      <c r="G7" s="1">
        <f t="shared" ref="G7:G41" si="0">AVERAGE(E7:F7)</f>
        <v>5.8025483649123597</v>
      </c>
      <c r="H7" s="1">
        <f t="shared" ref="H7:H41" si="1">2.35*G7</f>
        <v>13.635988657544045</v>
      </c>
      <c r="I7">
        <v>0</v>
      </c>
      <c r="J7">
        <v>0.91004037989202724</v>
      </c>
      <c r="L7" s="5"/>
      <c r="M7" s="5"/>
      <c r="N7" s="5"/>
      <c r="O7" s="5"/>
      <c r="P7" s="5"/>
      <c r="Q7" s="5"/>
      <c r="R7" s="5"/>
      <c r="S7" s="5"/>
      <c r="U7" s="13"/>
      <c r="V7" s="13"/>
      <c r="W7" s="13"/>
      <c r="X7" s="13"/>
      <c r="Y7" s="13"/>
      <c r="Z7" s="13"/>
      <c r="AA7" s="13"/>
      <c r="AB7" s="13"/>
    </row>
    <row r="8" spans="1:28" x14ac:dyDescent="0.25">
      <c r="A8">
        <v>80</v>
      </c>
      <c r="B8">
        <v>1</v>
      </c>
      <c r="C8">
        <v>0.13039118072278619</v>
      </c>
      <c r="D8">
        <v>5.1703905798745287E-2</v>
      </c>
      <c r="E8">
        <v>5.605677920173342</v>
      </c>
      <c r="F8">
        <v>5.5157241113474367</v>
      </c>
      <c r="G8" s="1">
        <f t="shared" si="0"/>
        <v>5.5607010157603893</v>
      </c>
      <c r="H8" s="1">
        <f t="shared" si="1"/>
        <v>13.067647387036915</v>
      </c>
      <c r="I8">
        <v>0</v>
      </c>
      <c r="J8">
        <v>0.99999999996579669</v>
      </c>
      <c r="L8" s="5"/>
      <c r="M8" s="5"/>
      <c r="N8" s="5"/>
      <c r="O8" s="5"/>
      <c r="P8" s="5"/>
      <c r="Q8" s="5"/>
      <c r="R8" s="5"/>
      <c r="S8" s="5"/>
      <c r="U8" s="13"/>
      <c r="V8" s="13"/>
      <c r="W8" s="13"/>
      <c r="X8" s="13"/>
      <c r="Y8" s="13"/>
      <c r="Z8" s="13"/>
      <c r="AA8" s="13"/>
      <c r="AB8" s="13"/>
    </row>
    <row r="9" spans="1:28" x14ac:dyDescent="0.25">
      <c r="A9">
        <v>85</v>
      </c>
      <c r="B9">
        <v>1</v>
      </c>
      <c r="C9">
        <v>-0.1643594436185048</v>
      </c>
      <c r="D9">
        <v>0.79311006853037358</v>
      </c>
      <c r="E9">
        <v>5.4948268598379268</v>
      </c>
      <c r="F9">
        <v>5.3226884395243701</v>
      </c>
      <c r="G9" s="1">
        <f t="shared" si="0"/>
        <v>5.4087576496811485</v>
      </c>
      <c r="H9" s="1">
        <f t="shared" si="1"/>
        <v>12.7105804767507</v>
      </c>
      <c r="I9">
        <v>0</v>
      </c>
      <c r="J9">
        <v>0.91440204871576281</v>
      </c>
      <c r="L9" s="5"/>
      <c r="M9" s="5"/>
      <c r="N9" s="5"/>
      <c r="O9" s="5"/>
      <c r="P9" s="5"/>
      <c r="Q9" s="5"/>
      <c r="R9" s="5"/>
      <c r="S9" s="5"/>
      <c r="U9" s="13"/>
      <c r="V9" s="13"/>
      <c r="W9" s="13"/>
      <c r="X9" s="13"/>
      <c r="Y9" s="13"/>
      <c r="Z9" s="13"/>
      <c r="AA9" s="13"/>
      <c r="AB9" s="13"/>
    </row>
    <row r="10" spans="1:28" x14ac:dyDescent="0.25">
      <c r="A10">
        <v>90</v>
      </c>
      <c r="B10">
        <v>1</v>
      </c>
      <c r="C10">
        <v>0.1174662466714778</v>
      </c>
      <c r="D10">
        <v>0.61252449080062066</v>
      </c>
      <c r="E10">
        <v>5.3899593016534189</v>
      </c>
      <c r="F10">
        <v>5.2036617091658153</v>
      </c>
      <c r="G10" s="1">
        <f t="shared" si="0"/>
        <v>5.2968105054096171</v>
      </c>
      <c r="H10" s="1">
        <f t="shared" si="1"/>
        <v>12.4475046877126</v>
      </c>
      <c r="I10">
        <v>0</v>
      </c>
      <c r="J10">
        <v>0.89573895480864141</v>
      </c>
      <c r="L10" s="5"/>
      <c r="M10" s="5"/>
      <c r="N10" s="5"/>
      <c r="O10" s="5"/>
      <c r="P10" s="5"/>
      <c r="Q10" s="5"/>
      <c r="R10" s="5"/>
      <c r="S10" s="5"/>
      <c r="U10" s="13"/>
      <c r="V10" s="13"/>
      <c r="W10" s="13"/>
      <c r="X10" s="13"/>
      <c r="Y10" s="13"/>
      <c r="Z10" s="13"/>
      <c r="AA10" s="13"/>
      <c r="AB10" s="13"/>
    </row>
    <row r="11" spans="1:28" x14ac:dyDescent="0.25">
      <c r="A11">
        <v>95</v>
      </c>
      <c r="B11">
        <v>1</v>
      </c>
      <c r="C11">
        <v>8.1393475558368719E-2</v>
      </c>
      <c r="D11">
        <v>0.36815003408988312</v>
      </c>
      <c r="E11">
        <v>5.1983021999611996</v>
      </c>
      <c r="F11">
        <v>5.0442318610656516</v>
      </c>
      <c r="G11" s="1">
        <f t="shared" si="0"/>
        <v>5.121267030513426</v>
      </c>
      <c r="H11" s="1">
        <f t="shared" si="1"/>
        <v>12.034977521706551</v>
      </c>
      <c r="I11">
        <v>0</v>
      </c>
      <c r="J11">
        <v>0.88582709745880417</v>
      </c>
      <c r="L11" s="5"/>
      <c r="M11" s="5"/>
      <c r="N11" s="5"/>
      <c r="O11" s="5"/>
      <c r="P11" s="5"/>
      <c r="Q11" s="5"/>
      <c r="R11" s="5"/>
      <c r="S11" s="5"/>
      <c r="U11" s="13"/>
      <c r="V11" s="13"/>
      <c r="W11" s="13"/>
      <c r="X11" s="13"/>
      <c r="Y11" s="13"/>
      <c r="Z11" s="13"/>
      <c r="AA11" s="13"/>
      <c r="AB11" s="13"/>
    </row>
    <row r="12" spans="1:28" x14ac:dyDescent="0.25">
      <c r="A12">
        <v>100</v>
      </c>
      <c r="B12">
        <v>0.99999999997531641</v>
      </c>
      <c r="C12">
        <v>0.1343078484162841</v>
      </c>
      <c r="D12">
        <v>0.36635935916134549</v>
      </c>
      <c r="E12">
        <v>5.070418157417393</v>
      </c>
      <c r="F12">
        <v>4.9405503930080954</v>
      </c>
      <c r="G12" s="1">
        <f t="shared" si="0"/>
        <v>5.0054842752127442</v>
      </c>
      <c r="H12" s="1">
        <f t="shared" si="1"/>
        <v>11.76288804674995</v>
      </c>
      <c r="I12">
        <v>0</v>
      </c>
      <c r="J12">
        <v>0.88409630475829137</v>
      </c>
      <c r="L12" s="5"/>
      <c r="M12" s="5"/>
      <c r="N12" s="5"/>
      <c r="O12" s="5"/>
      <c r="P12" s="5"/>
      <c r="Q12" s="5"/>
      <c r="R12" s="5"/>
      <c r="S12" s="5"/>
      <c r="U12" s="13"/>
      <c r="V12" s="13"/>
      <c r="W12" s="13"/>
      <c r="X12" s="13"/>
      <c r="Y12" s="13"/>
      <c r="Z12" s="13"/>
      <c r="AA12" s="13"/>
      <c r="AB12" s="13"/>
    </row>
    <row r="13" spans="1:28" x14ac:dyDescent="0.25">
      <c r="A13">
        <v>105</v>
      </c>
      <c r="B13">
        <v>1</v>
      </c>
      <c r="C13">
        <v>0.2425156621733974</v>
      </c>
      <c r="D13">
        <v>0.66414276466179534</v>
      </c>
      <c r="E13">
        <v>4.8986139855040314</v>
      </c>
      <c r="F13">
        <v>4.8057615130213636</v>
      </c>
      <c r="G13" s="1">
        <f t="shared" si="0"/>
        <v>4.852187749262697</v>
      </c>
      <c r="H13" s="1">
        <f t="shared" si="1"/>
        <v>11.402641210767339</v>
      </c>
      <c r="I13">
        <v>0</v>
      </c>
      <c r="J13">
        <v>0.83016232641732801</v>
      </c>
      <c r="L13" s="5"/>
      <c r="M13" s="5"/>
      <c r="N13" s="5"/>
      <c r="O13" s="5"/>
      <c r="P13" s="5"/>
      <c r="Q13" s="5"/>
      <c r="R13" s="5"/>
      <c r="S13" s="5"/>
      <c r="U13" s="13"/>
      <c r="V13" s="13"/>
      <c r="W13" s="13"/>
      <c r="X13" s="13"/>
      <c r="Y13" s="13"/>
      <c r="Z13" s="13"/>
      <c r="AA13" s="13"/>
      <c r="AB13" s="13"/>
    </row>
    <row r="14" spans="1:28" x14ac:dyDescent="0.25">
      <c r="A14">
        <v>110</v>
      </c>
      <c r="B14">
        <v>1</v>
      </c>
      <c r="C14">
        <v>-0.1045099338791574</v>
      </c>
      <c r="D14">
        <v>0.36082998599029359</v>
      </c>
      <c r="E14">
        <v>4.7943904040349503</v>
      </c>
      <c r="F14">
        <v>4.720738896055968</v>
      </c>
      <c r="G14" s="1">
        <f t="shared" si="0"/>
        <v>4.7575646500454596</v>
      </c>
      <c r="H14" s="1">
        <f t="shared" si="1"/>
        <v>11.18027692760683</v>
      </c>
      <c r="I14">
        <v>0</v>
      </c>
      <c r="J14">
        <v>0.8481154779118667</v>
      </c>
      <c r="L14" s="5"/>
      <c r="M14" s="5"/>
      <c r="N14" s="5"/>
      <c r="O14" s="5"/>
      <c r="P14" s="5"/>
      <c r="Q14" s="5"/>
      <c r="R14" s="5"/>
      <c r="S14" s="5"/>
      <c r="U14" s="13"/>
      <c r="V14" s="13"/>
      <c r="W14" s="13"/>
      <c r="X14" s="13"/>
      <c r="Y14" s="13"/>
      <c r="Z14" s="13"/>
      <c r="AA14" s="13"/>
      <c r="AB14" s="13"/>
    </row>
    <row r="15" spans="1:28" x14ac:dyDescent="0.25">
      <c r="A15">
        <v>115</v>
      </c>
      <c r="B15">
        <v>0.99999999998997768</v>
      </c>
      <c r="C15">
        <v>-0.24929852592728241</v>
      </c>
      <c r="D15">
        <v>0.13469850468105191</v>
      </c>
      <c r="E15">
        <v>4.6266223414869314</v>
      </c>
      <c r="F15">
        <v>4.5958406167802979</v>
      </c>
      <c r="G15" s="1">
        <f t="shared" si="0"/>
        <v>4.6112314791336146</v>
      </c>
      <c r="H15" s="1">
        <f t="shared" si="1"/>
        <v>10.836393975963995</v>
      </c>
      <c r="I15">
        <v>0</v>
      </c>
      <c r="J15">
        <v>0.88174716965736954</v>
      </c>
      <c r="L15" s="5"/>
      <c r="M15" s="5"/>
      <c r="N15" s="5"/>
      <c r="O15" s="5"/>
      <c r="P15" s="5"/>
      <c r="Q15" s="5"/>
      <c r="R15" s="5"/>
      <c r="S15" s="5"/>
      <c r="U15" s="13"/>
      <c r="V15" s="13"/>
      <c r="W15" s="13"/>
      <c r="X15" s="13"/>
      <c r="Y15" s="13"/>
      <c r="Z15" s="13"/>
      <c r="AA15" s="13"/>
      <c r="AB15" s="13"/>
    </row>
    <row r="16" spans="1:28" x14ac:dyDescent="0.25">
      <c r="A16">
        <v>120</v>
      </c>
      <c r="B16">
        <v>1</v>
      </c>
      <c r="C16">
        <v>-0.31406694166985077</v>
      </c>
      <c r="D16">
        <v>0.1290699743615511</v>
      </c>
      <c r="E16">
        <v>4.4932350744209151</v>
      </c>
      <c r="F16">
        <v>4.4979396877241946</v>
      </c>
      <c r="G16" s="1">
        <f t="shared" si="0"/>
        <v>4.4955873810725553</v>
      </c>
      <c r="H16" s="1">
        <f t="shared" si="1"/>
        <v>10.564630345520506</v>
      </c>
      <c r="I16">
        <v>0</v>
      </c>
      <c r="J16">
        <v>0.99730737686911364</v>
      </c>
      <c r="L16" s="5"/>
      <c r="M16" s="5"/>
      <c r="N16" s="5"/>
      <c r="O16" s="5"/>
      <c r="P16" s="5"/>
      <c r="Q16" s="5"/>
      <c r="R16" s="5"/>
      <c r="S16" s="5"/>
      <c r="U16" s="13"/>
      <c r="V16" s="13"/>
      <c r="W16" s="13"/>
      <c r="X16" s="13"/>
      <c r="Y16" s="13"/>
      <c r="Z16" s="13"/>
      <c r="AA16" s="13"/>
      <c r="AB16" s="13"/>
    </row>
    <row r="17" spans="1:28" x14ac:dyDescent="0.25">
      <c r="A17">
        <v>125</v>
      </c>
      <c r="B17">
        <v>0.99999999999999989</v>
      </c>
      <c r="C17">
        <v>-0.26801552337183537</v>
      </c>
      <c r="D17">
        <v>0.41095163350676461</v>
      </c>
      <c r="E17">
        <v>4.3710273668078292</v>
      </c>
      <c r="F17">
        <v>4.3977462120083546</v>
      </c>
      <c r="G17" s="1">
        <f t="shared" si="0"/>
        <v>4.3843867894080919</v>
      </c>
      <c r="H17" s="1">
        <f t="shared" si="1"/>
        <v>10.303308955109017</v>
      </c>
      <c r="I17">
        <v>0</v>
      </c>
      <c r="J17">
        <v>0.88225202411115677</v>
      </c>
      <c r="L17" s="5"/>
      <c r="M17" s="5"/>
      <c r="N17" s="5"/>
      <c r="O17" s="5"/>
      <c r="P17" s="5"/>
      <c r="Q17" s="5"/>
      <c r="R17" s="5"/>
      <c r="S17" s="5"/>
      <c r="U17" s="13"/>
      <c r="V17" s="13"/>
      <c r="W17" s="13"/>
      <c r="X17" s="13"/>
      <c r="Y17" s="13"/>
      <c r="Z17" s="13"/>
      <c r="AA17" s="13"/>
      <c r="AB17" s="13"/>
    </row>
    <row r="18" spans="1:28" x14ac:dyDescent="0.25">
      <c r="A18">
        <v>130</v>
      </c>
      <c r="B18">
        <v>0.99999999999998501</v>
      </c>
      <c r="C18">
        <v>0.107045850171597</v>
      </c>
      <c r="D18">
        <v>0.39552439057371491</v>
      </c>
      <c r="E18">
        <v>4.2812635473370539</v>
      </c>
      <c r="F18">
        <v>4.3324857404156436</v>
      </c>
      <c r="G18" s="1">
        <f t="shared" si="0"/>
        <v>4.3068746438763483</v>
      </c>
      <c r="H18" s="1">
        <f t="shared" si="1"/>
        <v>10.121155413109419</v>
      </c>
      <c r="I18">
        <v>0</v>
      </c>
      <c r="J18">
        <v>0.93647538459340574</v>
      </c>
      <c r="L18" s="5"/>
      <c r="M18" s="5"/>
      <c r="N18" s="5"/>
      <c r="O18" s="5"/>
      <c r="P18" s="5"/>
      <c r="Q18" s="5"/>
      <c r="R18" s="5"/>
      <c r="S18" s="5"/>
      <c r="U18" s="13"/>
      <c r="V18" s="13"/>
      <c r="W18" s="13"/>
      <c r="X18" s="13"/>
      <c r="Y18" s="13"/>
      <c r="Z18" s="13"/>
      <c r="AA18" s="13"/>
      <c r="AB18" s="13"/>
    </row>
    <row r="19" spans="1:28" x14ac:dyDescent="0.25">
      <c r="A19">
        <v>135</v>
      </c>
      <c r="B19">
        <v>1</v>
      </c>
      <c r="C19">
        <v>-9.4795902668781976E-2</v>
      </c>
      <c r="D19">
        <v>0.38621920973148949</v>
      </c>
      <c r="E19">
        <v>4.2056996816482117</v>
      </c>
      <c r="F19">
        <v>4.2683490879142152</v>
      </c>
      <c r="G19" s="1">
        <f t="shared" si="0"/>
        <v>4.237024384781213</v>
      </c>
      <c r="H19" s="1">
        <f t="shared" si="1"/>
        <v>9.9570073042358516</v>
      </c>
      <c r="I19">
        <v>0</v>
      </c>
      <c r="J19">
        <v>0.99927566444360771</v>
      </c>
      <c r="L19" s="5"/>
      <c r="M19" s="5"/>
      <c r="N19" s="5"/>
      <c r="O19" s="5"/>
      <c r="P19" s="5"/>
      <c r="Q19" s="5"/>
      <c r="R19" s="5"/>
      <c r="S19" s="5"/>
      <c r="U19" s="13"/>
      <c r="V19" s="13"/>
      <c r="W19" s="13"/>
      <c r="X19" s="13"/>
      <c r="Y19" s="13"/>
      <c r="Z19" s="13"/>
      <c r="AA19" s="13"/>
      <c r="AB19" s="13"/>
    </row>
    <row r="20" spans="1:28" x14ac:dyDescent="0.25">
      <c r="A20">
        <v>140</v>
      </c>
      <c r="B20">
        <v>0.99999999999215905</v>
      </c>
      <c r="C20">
        <v>2.1515746087345401E-2</v>
      </c>
      <c r="D20">
        <v>0.38708917287271899</v>
      </c>
      <c r="E20">
        <v>4.1873351192402799</v>
      </c>
      <c r="F20">
        <v>4.2502847103472083</v>
      </c>
      <c r="G20" s="1">
        <f t="shared" si="0"/>
        <v>4.2188099147937441</v>
      </c>
      <c r="H20" s="1">
        <f t="shared" si="1"/>
        <v>9.9142032997652993</v>
      </c>
      <c r="I20">
        <v>0</v>
      </c>
      <c r="J20">
        <v>1</v>
      </c>
      <c r="L20" s="5"/>
      <c r="M20" s="5"/>
      <c r="N20" s="5"/>
      <c r="O20" s="5"/>
      <c r="P20" s="5"/>
      <c r="Q20" s="5"/>
      <c r="R20" s="5"/>
      <c r="S20" s="5"/>
      <c r="U20" s="13"/>
      <c r="V20" s="13"/>
      <c r="W20" s="13"/>
      <c r="X20" s="13"/>
      <c r="Y20" s="13"/>
      <c r="Z20" s="13"/>
      <c r="AA20" s="13"/>
      <c r="AB20" s="13"/>
    </row>
    <row r="21" spans="1:28" x14ac:dyDescent="0.25">
      <c r="A21">
        <v>145</v>
      </c>
      <c r="B21">
        <v>1</v>
      </c>
      <c r="C21">
        <v>-5.2738906974593852E-2</v>
      </c>
      <c r="D21">
        <v>0.32966032721227001</v>
      </c>
      <c r="E21">
        <v>4.0973768693637824</v>
      </c>
      <c r="F21">
        <v>4.1409572171762221</v>
      </c>
      <c r="G21" s="1">
        <f t="shared" si="0"/>
        <v>4.1191670432700018</v>
      </c>
      <c r="H21" s="1">
        <f t="shared" si="1"/>
        <v>9.6800425516845046</v>
      </c>
      <c r="I21">
        <v>0</v>
      </c>
      <c r="J21">
        <v>1</v>
      </c>
      <c r="L21" s="5"/>
      <c r="M21" s="5"/>
      <c r="N21" s="5"/>
      <c r="O21" s="5"/>
      <c r="P21" s="5"/>
      <c r="Q21" s="5"/>
      <c r="R21" s="5"/>
      <c r="S21" s="5"/>
      <c r="U21" s="13"/>
      <c r="V21" s="13"/>
      <c r="W21" s="13"/>
      <c r="X21" s="13"/>
      <c r="Y21" s="13"/>
      <c r="Z21" s="13"/>
      <c r="AA21" s="13"/>
      <c r="AB21" s="13"/>
    </row>
    <row r="22" spans="1:28" x14ac:dyDescent="0.25">
      <c r="A22">
        <v>150</v>
      </c>
      <c r="B22">
        <v>1</v>
      </c>
      <c r="C22">
        <v>8.7209302931279715E-3</v>
      </c>
      <c r="D22">
        <v>0.14236382141706369</v>
      </c>
      <c r="E22">
        <v>4.0295113791373041</v>
      </c>
      <c r="F22">
        <v>4.0515223675828853</v>
      </c>
      <c r="G22" s="1">
        <f t="shared" si="0"/>
        <v>4.0405168733600947</v>
      </c>
      <c r="H22" s="1">
        <f t="shared" si="1"/>
        <v>9.4952146523962231</v>
      </c>
      <c r="I22">
        <v>0</v>
      </c>
      <c r="J22">
        <v>0.94628240693914789</v>
      </c>
      <c r="L22" s="5"/>
      <c r="M22" s="5"/>
      <c r="N22" s="5"/>
      <c r="O22" s="5"/>
      <c r="P22" s="5"/>
      <c r="Q22" s="5"/>
      <c r="R22" s="5"/>
      <c r="S22" s="5"/>
      <c r="U22" s="13"/>
      <c r="V22" s="13"/>
      <c r="W22" s="13"/>
      <c r="X22" s="13"/>
      <c r="Y22" s="13"/>
      <c r="Z22" s="13"/>
      <c r="AA22" s="13"/>
      <c r="AB22" s="13"/>
    </row>
    <row r="23" spans="1:28" x14ac:dyDescent="0.25">
      <c r="A23">
        <v>155</v>
      </c>
      <c r="B23">
        <v>1</v>
      </c>
      <c r="C23">
        <v>-0.1207864145164014</v>
      </c>
      <c r="D23">
        <v>0.36566972513452278</v>
      </c>
      <c r="E23">
        <v>3.9973840670320269</v>
      </c>
      <c r="F23">
        <v>3.972322290185081</v>
      </c>
      <c r="G23" s="1">
        <f t="shared" si="0"/>
        <v>3.9848531786085539</v>
      </c>
      <c r="H23" s="1">
        <f t="shared" si="1"/>
        <v>9.3644049697301028</v>
      </c>
      <c r="I23">
        <v>0</v>
      </c>
      <c r="J23">
        <v>0.99999998116295008</v>
      </c>
      <c r="L23" s="5"/>
      <c r="M23" s="5"/>
      <c r="N23" s="5"/>
      <c r="O23" s="5"/>
      <c r="P23" s="5"/>
      <c r="Q23" s="5"/>
      <c r="R23" s="5"/>
      <c r="S23" s="5"/>
      <c r="U23" s="13"/>
      <c r="V23" s="13"/>
      <c r="W23" s="13"/>
      <c r="X23" s="13"/>
      <c r="Y23" s="13"/>
      <c r="Z23" s="13"/>
      <c r="AA23" s="13"/>
      <c r="AB23" s="13"/>
    </row>
    <row r="24" spans="1:28" x14ac:dyDescent="0.25">
      <c r="A24">
        <v>160</v>
      </c>
      <c r="B24">
        <v>1</v>
      </c>
      <c r="C24">
        <v>-0.1179834044073288</v>
      </c>
      <c r="D24">
        <v>0.39666824641628912</v>
      </c>
      <c r="E24">
        <v>3.9647992926213669</v>
      </c>
      <c r="F24">
        <v>3.889294650609679</v>
      </c>
      <c r="G24" s="1">
        <f t="shared" si="0"/>
        <v>3.927046971615523</v>
      </c>
      <c r="H24" s="1">
        <f t="shared" si="1"/>
        <v>9.2285603832964789</v>
      </c>
      <c r="I24">
        <v>0</v>
      </c>
      <c r="J24">
        <v>0.93696370351741309</v>
      </c>
      <c r="L24" s="5"/>
      <c r="M24" s="5"/>
      <c r="N24" s="5"/>
      <c r="O24" s="5"/>
      <c r="P24" s="5"/>
      <c r="Q24" s="5"/>
      <c r="R24" s="5"/>
      <c r="S24" s="5"/>
      <c r="U24" s="13"/>
      <c r="V24" s="13"/>
      <c r="W24" s="13"/>
      <c r="X24" s="13"/>
      <c r="Y24" s="13"/>
      <c r="Z24" s="13"/>
      <c r="AA24" s="13"/>
      <c r="AB24" s="13"/>
    </row>
    <row r="25" spans="1:28" x14ac:dyDescent="0.25">
      <c r="A25">
        <v>165</v>
      </c>
      <c r="B25">
        <v>1</v>
      </c>
      <c r="C25">
        <v>-0.16013887307821981</v>
      </c>
      <c r="D25">
        <v>0.36688456338945757</v>
      </c>
      <c r="E25">
        <v>3.950009893033505</v>
      </c>
      <c r="F25">
        <v>3.8375659723999251</v>
      </c>
      <c r="G25" s="1">
        <f t="shared" si="0"/>
        <v>3.8937879327167151</v>
      </c>
      <c r="H25" s="1">
        <f t="shared" si="1"/>
        <v>9.1504016418842813</v>
      </c>
      <c r="I25">
        <v>0</v>
      </c>
      <c r="J25">
        <v>0.99999999999996836</v>
      </c>
      <c r="L25" s="5"/>
      <c r="M25" s="5"/>
      <c r="N25" s="5"/>
      <c r="O25" s="5"/>
      <c r="P25" s="5"/>
      <c r="Q25" s="5"/>
      <c r="R25" s="5"/>
      <c r="S25" s="5"/>
      <c r="U25" s="13"/>
      <c r="V25" s="13"/>
      <c r="W25" s="13"/>
      <c r="X25" s="13"/>
      <c r="Y25" s="13"/>
      <c r="Z25" s="13"/>
      <c r="AA25" s="13"/>
      <c r="AB25" s="13"/>
    </row>
    <row r="26" spans="1:28" x14ac:dyDescent="0.25">
      <c r="A26">
        <v>170</v>
      </c>
      <c r="B26">
        <v>1</v>
      </c>
      <c r="C26">
        <v>-9.923480883651109E-2</v>
      </c>
      <c r="D26">
        <v>0.1132805312303922</v>
      </c>
      <c r="E26">
        <v>3.9234955260441842</v>
      </c>
      <c r="F26">
        <v>3.7946244306404182</v>
      </c>
      <c r="G26" s="1">
        <f t="shared" si="0"/>
        <v>3.8590599783423012</v>
      </c>
      <c r="H26" s="1">
        <f t="shared" si="1"/>
        <v>9.0687909491044074</v>
      </c>
      <c r="I26">
        <v>0</v>
      </c>
      <c r="J26">
        <v>0.99999999889501057</v>
      </c>
      <c r="L26" s="5"/>
      <c r="M26" s="5"/>
      <c r="N26" s="5"/>
      <c r="O26" s="5"/>
      <c r="P26" s="5"/>
      <c r="Q26" s="5"/>
      <c r="R26" s="5"/>
      <c r="S26" s="5"/>
      <c r="U26" s="13"/>
      <c r="V26" s="13"/>
      <c r="W26" s="13"/>
      <c r="X26" s="13"/>
      <c r="Y26" s="13"/>
      <c r="Z26" s="13"/>
      <c r="AA26" s="13"/>
      <c r="AB26" s="13"/>
    </row>
    <row r="27" spans="1:28" x14ac:dyDescent="0.25">
      <c r="A27">
        <v>175</v>
      </c>
      <c r="B27">
        <v>1</v>
      </c>
      <c r="C27">
        <v>-9.6824455643750862E-2</v>
      </c>
      <c r="D27">
        <v>0.12375119635268229</v>
      </c>
      <c r="E27">
        <v>3.8658755320667848</v>
      </c>
      <c r="F27">
        <v>3.7178421971289231</v>
      </c>
      <c r="G27" s="1">
        <f t="shared" si="0"/>
        <v>3.7918588645978542</v>
      </c>
      <c r="H27" s="1">
        <f t="shared" si="1"/>
        <v>8.9108683318049575</v>
      </c>
      <c r="I27">
        <v>0</v>
      </c>
      <c r="J27">
        <v>0.99999999999524158</v>
      </c>
      <c r="L27" s="5"/>
      <c r="M27" s="5"/>
      <c r="N27" s="5"/>
      <c r="O27" s="5"/>
      <c r="P27" s="5"/>
      <c r="Q27" s="5"/>
      <c r="R27" s="5"/>
      <c r="S27" s="5"/>
      <c r="U27" s="13"/>
      <c r="V27" s="13"/>
      <c r="W27" s="13"/>
      <c r="X27" s="13"/>
      <c r="Y27" s="13"/>
      <c r="Z27" s="13"/>
      <c r="AA27" s="13"/>
      <c r="AB27" s="13"/>
    </row>
    <row r="28" spans="1:28" x14ac:dyDescent="0.25">
      <c r="A28">
        <v>180</v>
      </c>
      <c r="B28">
        <v>1</v>
      </c>
      <c r="C28">
        <v>0.18784551244466169</v>
      </c>
      <c r="D28">
        <v>0.1221998579608766</v>
      </c>
      <c r="E28">
        <v>3.8920998516238532</v>
      </c>
      <c r="F28">
        <v>3.7156313634317661</v>
      </c>
      <c r="G28" s="1">
        <f t="shared" si="0"/>
        <v>3.8038656075278094</v>
      </c>
      <c r="H28" s="1">
        <f t="shared" si="1"/>
        <v>8.9390841776903525</v>
      </c>
      <c r="I28">
        <v>0</v>
      </c>
      <c r="J28">
        <v>0.99999999993382738</v>
      </c>
      <c r="L28" s="5"/>
      <c r="M28" s="5"/>
      <c r="N28" s="5"/>
      <c r="O28" s="5"/>
      <c r="P28" s="5"/>
      <c r="Q28" s="5"/>
      <c r="R28" s="5"/>
      <c r="S28" s="5"/>
      <c r="U28" s="13"/>
      <c r="V28" s="13"/>
      <c r="W28" s="13"/>
      <c r="X28" s="13"/>
      <c r="Y28" s="13"/>
      <c r="Z28" s="13"/>
      <c r="AA28" s="13"/>
      <c r="AB28" s="13"/>
    </row>
    <row r="29" spans="1:28" x14ac:dyDescent="0.25">
      <c r="A29">
        <v>185</v>
      </c>
      <c r="B29">
        <v>1</v>
      </c>
      <c r="C29">
        <v>4.8684208794608358E-2</v>
      </c>
      <c r="D29">
        <v>0.3820857529347671</v>
      </c>
      <c r="E29">
        <v>3.8429999387604159</v>
      </c>
      <c r="F29">
        <v>3.6559478623173032</v>
      </c>
      <c r="G29" s="1">
        <f t="shared" si="0"/>
        <v>3.7494739005388595</v>
      </c>
      <c r="H29" s="1">
        <f t="shared" si="1"/>
        <v>8.8112636662663206</v>
      </c>
      <c r="I29">
        <v>0</v>
      </c>
      <c r="J29">
        <v>0.99999999998102029</v>
      </c>
      <c r="L29" s="5"/>
      <c r="M29" s="5"/>
      <c r="N29" s="5"/>
      <c r="O29" s="5"/>
      <c r="P29" s="5"/>
      <c r="Q29" s="5"/>
      <c r="R29" s="5"/>
      <c r="S29" s="5"/>
      <c r="U29" s="13"/>
      <c r="V29" s="13"/>
      <c r="W29" s="13"/>
      <c r="X29" s="13"/>
      <c r="Y29" s="13"/>
      <c r="Z29" s="13"/>
      <c r="AA29" s="13"/>
      <c r="AB29" s="13"/>
    </row>
    <row r="30" spans="1:28" x14ac:dyDescent="0.25">
      <c r="A30">
        <v>190</v>
      </c>
      <c r="B30">
        <v>1</v>
      </c>
      <c r="C30">
        <v>8.2610385852265131E-3</v>
      </c>
      <c r="D30">
        <v>6.497978677485898E-2</v>
      </c>
      <c r="E30">
        <v>3.8123368679795222</v>
      </c>
      <c r="F30">
        <v>3.602508741102453</v>
      </c>
      <c r="G30" s="1">
        <f t="shared" si="0"/>
        <v>3.7074228045409878</v>
      </c>
      <c r="H30" s="1">
        <f t="shared" si="1"/>
        <v>8.712443590671322</v>
      </c>
      <c r="I30">
        <v>0</v>
      </c>
      <c r="J30">
        <v>0.99999999998988831</v>
      </c>
      <c r="L30" s="5"/>
      <c r="M30" s="5"/>
      <c r="N30" s="5"/>
      <c r="O30" s="5"/>
      <c r="P30" s="5"/>
      <c r="Q30" s="5"/>
      <c r="R30" s="5"/>
      <c r="S30" s="5"/>
      <c r="U30" s="13"/>
      <c r="V30" s="13"/>
      <c r="W30" s="13"/>
      <c r="X30" s="13"/>
      <c r="Y30" s="13"/>
      <c r="Z30" s="13"/>
      <c r="AA30" s="13"/>
      <c r="AB30" s="13"/>
    </row>
    <row r="31" spans="1:28" x14ac:dyDescent="0.25">
      <c r="A31">
        <v>195</v>
      </c>
      <c r="B31">
        <v>1</v>
      </c>
      <c r="C31">
        <v>1.8796217999893269E-2</v>
      </c>
      <c r="D31">
        <v>0.17195714422356709</v>
      </c>
      <c r="E31">
        <v>3.8231303487112469</v>
      </c>
      <c r="F31">
        <v>3.6005776562816618</v>
      </c>
      <c r="G31" s="1">
        <f t="shared" si="0"/>
        <v>3.7118540024964544</v>
      </c>
      <c r="H31" s="1">
        <f t="shared" si="1"/>
        <v>8.722856905866669</v>
      </c>
      <c r="I31">
        <v>0</v>
      </c>
      <c r="J31">
        <v>0.99999999999960909</v>
      </c>
      <c r="L31" s="5"/>
      <c r="M31" s="5"/>
      <c r="N31" s="5"/>
      <c r="O31" s="5"/>
      <c r="P31" s="5"/>
      <c r="Q31" s="5"/>
      <c r="R31" s="5"/>
      <c r="S31" s="5"/>
      <c r="U31" s="13"/>
      <c r="V31" s="13"/>
      <c r="W31" s="13"/>
      <c r="X31" s="13"/>
      <c r="Y31" s="13"/>
      <c r="Z31" s="13"/>
      <c r="AA31" s="13"/>
      <c r="AB31" s="13"/>
    </row>
    <row r="32" spans="1:28" x14ac:dyDescent="0.25">
      <c r="A32">
        <v>200</v>
      </c>
      <c r="B32">
        <v>1</v>
      </c>
      <c r="C32">
        <v>7.2441369414096984E-2</v>
      </c>
      <c r="D32">
        <v>0.34736115675817719</v>
      </c>
      <c r="E32">
        <v>3.800958823355538</v>
      </c>
      <c r="F32">
        <v>3.583504758486761</v>
      </c>
      <c r="G32" s="1">
        <f t="shared" si="0"/>
        <v>3.6922317909211495</v>
      </c>
      <c r="H32" s="1">
        <f t="shared" si="1"/>
        <v>8.6767447086647014</v>
      </c>
      <c r="I32">
        <v>0</v>
      </c>
      <c r="J32">
        <v>0.99999999994795574</v>
      </c>
      <c r="L32" s="5"/>
      <c r="M32" s="5"/>
      <c r="N32" s="5"/>
      <c r="O32" s="5"/>
      <c r="P32" s="5"/>
      <c r="Q32" s="5"/>
      <c r="R32" s="5"/>
      <c r="S32" s="5"/>
      <c r="U32" s="13"/>
      <c r="V32" s="13"/>
      <c r="W32" s="13"/>
      <c r="X32" s="13"/>
      <c r="Y32" s="13"/>
      <c r="Z32" s="13"/>
      <c r="AA32" s="13"/>
      <c r="AB32" s="13"/>
    </row>
    <row r="33" spans="1:28" x14ac:dyDescent="0.25">
      <c r="A33">
        <v>205</v>
      </c>
      <c r="B33">
        <v>1</v>
      </c>
      <c r="C33">
        <v>0.2492499489450897</v>
      </c>
      <c r="D33">
        <v>0.2176449587779109</v>
      </c>
      <c r="E33">
        <v>3.7334097691380901</v>
      </c>
      <c r="F33">
        <v>3.5600258289669329</v>
      </c>
      <c r="G33" s="1">
        <f t="shared" si="0"/>
        <v>3.6467177990525115</v>
      </c>
      <c r="H33" s="1">
        <f t="shared" si="1"/>
        <v>8.5697868277734024</v>
      </c>
      <c r="I33">
        <v>0</v>
      </c>
      <c r="J33">
        <v>0.99999999993847521</v>
      </c>
      <c r="L33" s="5"/>
      <c r="M33" s="5"/>
      <c r="N33" s="5"/>
      <c r="O33" s="5"/>
      <c r="P33" s="5"/>
      <c r="Q33" s="5"/>
      <c r="R33" s="5"/>
      <c r="S33" s="5"/>
      <c r="U33" s="13"/>
      <c r="V33" s="13"/>
      <c r="W33" s="13"/>
      <c r="X33" s="13"/>
      <c r="Y33" s="13"/>
      <c r="Z33" s="13"/>
      <c r="AA33" s="13"/>
      <c r="AB33" s="13"/>
    </row>
    <row r="34" spans="1:28" x14ac:dyDescent="0.25">
      <c r="A34">
        <v>210</v>
      </c>
      <c r="B34">
        <v>1</v>
      </c>
      <c r="C34">
        <v>0.19147259678396361</v>
      </c>
      <c r="D34">
        <v>0.36194799489191992</v>
      </c>
      <c r="E34">
        <v>3.6770357997269429</v>
      </c>
      <c r="F34">
        <v>3.567713304296475</v>
      </c>
      <c r="G34" s="1">
        <f t="shared" si="0"/>
        <v>3.622374552011709</v>
      </c>
      <c r="H34" s="1">
        <f t="shared" si="1"/>
        <v>8.5125801972275159</v>
      </c>
      <c r="I34">
        <v>0</v>
      </c>
      <c r="J34">
        <v>1</v>
      </c>
      <c r="L34" s="5"/>
      <c r="M34" s="5"/>
      <c r="N34" s="5"/>
      <c r="O34" s="5"/>
      <c r="P34" s="5"/>
      <c r="Q34" s="5"/>
      <c r="R34" s="5"/>
      <c r="S34" s="5"/>
      <c r="U34" s="13"/>
      <c r="V34" s="13"/>
      <c r="W34" s="13"/>
      <c r="X34" s="13"/>
      <c r="Y34" s="13"/>
      <c r="Z34" s="13"/>
      <c r="AA34" s="13"/>
      <c r="AB34" s="13"/>
    </row>
    <row r="35" spans="1:28" x14ac:dyDescent="0.25">
      <c r="A35">
        <v>215</v>
      </c>
      <c r="B35">
        <v>1</v>
      </c>
      <c r="C35">
        <v>0.160045038614024</v>
      </c>
      <c r="D35">
        <v>-2.18221209938834E-2</v>
      </c>
      <c r="E35">
        <v>3.5778551381224539</v>
      </c>
      <c r="F35">
        <v>3.5410026006974231</v>
      </c>
      <c r="G35" s="1">
        <f t="shared" si="0"/>
        <v>3.5594288694099383</v>
      </c>
      <c r="H35" s="1">
        <f t="shared" si="1"/>
        <v>8.3646578431133545</v>
      </c>
      <c r="I35">
        <v>0</v>
      </c>
      <c r="J35">
        <v>1</v>
      </c>
      <c r="L35" s="5"/>
      <c r="M35" s="5"/>
      <c r="N35" s="5"/>
      <c r="O35" s="5"/>
      <c r="P35" s="5"/>
      <c r="Q35" s="5"/>
      <c r="R35" s="5"/>
      <c r="S35" s="5"/>
      <c r="U35" s="13"/>
      <c r="V35" s="13"/>
      <c r="W35" s="13"/>
      <c r="X35" s="13"/>
      <c r="Y35" s="13"/>
      <c r="Z35" s="13"/>
      <c r="AA35" s="13"/>
      <c r="AB35" s="13"/>
    </row>
    <row r="36" spans="1:28" x14ac:dyDescent="0.25">
      <c r="A36">
        <v>220</v>
      </c>
      <c r="B36">
        <v>1</v>
      </c>
      <c r="C36">
        <v>0.13909901852247231</v>
      </c>
      <c r="D36">
        <v>5.5485961185708921E-2</v>
      </c>
      <c r="E36">
        <v>3.4647540057113528</v>
      </c>
      <c r="F36">
        <v>3.517522704922535</v>
      </c>
      <c r="G36" s="1">
        <f t="shared" si="0"/>
        <v>3.4911383553169442</v>
      </c>
      <c r="H36" s="1">
        <f t="shared" si="1"/>
        <v>8.2041751349948182</v>
      </c>
      <c r="I36">
        <v>0</v>
      </c>
      <c r="J36">
        <v>0.999999999999999</v>
      </c>
      <c r="L36" s="5"/>
      <c r="M36" s="5"/>
      <c r="N36" s="5"/>
      <c r="O36" s="5"/>
      <c r="P36" s="5"/>
      <c r="Q36" s="5"/>
      <c r="R36" s="5"/>
      <c r="S36" s="5"/>
      <c r="U36" s="13"/>
      <c r="V36" s="13"/>
      <c r="W36" s="13"/>
      <c r="X36" s="13"/>
      <c r="Y36" s="13"/>
      <c r="Z36" s="13"/>
      <c r="AA36" s="13"/>
      <c r="AB36" s="13"/>
    </row>
    <row r="37" spans="1:28" x14ac:dyDescent="0.25">
      <c r="A37">
        <v>225</v>
      </c>
      <c r="B37">
        <v>1</v>
      </c>
      <c r="C37">
        <v>0.17899808885527879</v>
      </c>
      <c r="D37">
        <v>0.30535567452181173</v>
      </c>
      <c r="E37">
        <v>3.400410025238612</v>
      </c>
      <c r="F37">
        <v>3.5131359177807608</v>
      </c>
      <c r="G37" s="1">
        <f t="shared" si="0"/>
        <v>3.4567729715096864</v>
      </c>
      <c r="H37" s="1">
        <f t="shared" si="1"/>
        <v>8.1234164830477642</v>
      </c>
      <c r="I37">
        <v>0</v>
      </c>
      <c r="J37">
        <v>0.9999999982100205</v>
      </c>
      <c r="L37" s="5"/>
      <c r="M37" s="5"/>
      <c r="N37" s="5"/>
      <c r="O37" s="5"/>
      <c r="P37" s="5"/>
      <c r="Q37" s="5"/>
      <c r="R37" s="5"/>
      <c r="S37" s="5"/>
      <c r="U37" s="13"/>
      <c r="V37" s="13"/>
      <c r="W37" s="13"/>
      <c r="X37" s="13"/>
      <c r="Y37" s="13"/>
      <c r="Z37" s="13"/>
      <c r="AA37" s="13"/>
      <c r="AB37" s="13"/>
    </row>
    <row r="38" spans="1:28" x14ac:dyDescent="0.25">
      <c r="A38">
        <v>230</v>
      </c>
      <c r="B38">
        <v>1</v>
      </c>
      <c r="C38">
        <v>0.41011888927644707</v>
      </c>
      <c r="D38">
        <v>0.30591940916522531</v>
      </c>
      <c r="E38">
        <v>3.3235779372045</v>
      </c>
      <c r="F38">
        <v>3.4972121736743822</v>
      </c>
      <c r="G38" s="1">
        <f t="shared" si="0"/>
        <v>3.4103950554394409</v>
      </c>
      <c r="H38" s="1">
        <f t="shared" si="1"/>
        <v>8.0144283802826859</v>
      </c>
      <c r="I38">
        <v>0</v>
      </c>
      <c r="J38">
        <v>0.99999999999999656</v>
      </c>
      <c r="L38" s="5"/>
      <c r="M38" s="5"/>
      <c r="N38" s="5"/>
      <c r="O38" s="5"/>
      <c r="P38" s="5"/>
      <c r="Q38" s="5"/>
      <c r="R38" s="5"/>
      <c r="S38" s="5"/>
      <c r="U38" s="13"/>
      <c r="V38" s="13"/>
      <c r="W38" s="13"/>
      <c r="X38" s="13"/>
      <c r="Y38" s="13"/>
      <c r="Z38" s="13"/>
      <c r="AA38" s="13"/>
      <c r="AB38" s="13"/>
    </row>
    <row r="39" spans="1:28" x14ac:dyDescent="0.25">
      <c r="A39">
        <v>235</v>
      </c>
      <c r="B39">
        <v>1</v>
      </c>
      <c r="C39">
        <v>0.3101799353288297</v>
      </c>
      <c r="D39">
        <v>0.26371771558920287</v>
      </c>
      <c r="E39">
        <v>3.3257126809018041</v>
      </c>
      <c r="F39">
        <v>3.5141647635969142</v>
      </c>
      <c r="G39" s="1">
        <f t="shared" si="0"/>
        <v>3.4199387222493591</v>
      </c>
      <c r="H39" s="1">
        <f t="shared" si="1"/>
        <v>8.0368559972859934</v>
      </c>
      <c r="I39">
        <v>0</v>
      </c>
      <c r="J39">
        <v>0.99999999999999778</v>
      </c>
      <c r="L39" s="5"/>
      <c r="M39" s="5"/>
      <c r="N39" s="5"/>
      <c r="O39" s="5"/>
      <c r="P39" s="5"/>
      <c r="Q39" s="5"/>
      <c r="R39" s="5"/>
      <c r="S39" s="5"/>
      <c r="U39" s="13"/>
      <c r="V39" s="13"/>
      <c r="W39" s="13"/>
      <c r="X39" s="13"/>
      <c r="Y39" s="13"/>
      <c r="Z39" s="13"/>
      <c r="AA39" s="13"/>
      <c r="AB39" s="13"/>
    </row>
    <row r="40" spans="1:28" x14ac:dyDescent="0.25">
      <c r="A40">
        <v>240</v>
      </c>
      <c r="B40">
        <v>1</v>
      </c>
      <c r="C40">
        <v>0.14752672403748049</v>
      </c>
      <c r="D40">
        <v>0.17786201451553829</v>
      </c>
      <c r="E40">
        <v>3.2823190472595458</v>
      </c>
      <c r="F40">
        <v>3.430089333117349</v>
      </c>
      <c r="G40" s="1">
        <f t="shared" si="0"/>
        <v>3.3562041901884472</v>
      </c>
      <c r="H40" s="1">
        <f t="shared" si="1"/>
        <v>7.8870798469428509</v>
      </c>
      <c r="I40">
        <v>0</v>
      </c>
      <c r="J40">
        <v>0.99999999930821593</v>
      </c>
      <c r="L40" s="5"/>
      <c r="M40" s="5"/>
      <c r="N40" s="5"/>
      <c r="O40" s="5"/>
      <c r="P40" s="5"/>
      <c r="Q40" s="5"/>
      <c r="R40" s="5"/>
      <c r="S40" s="5"/>
      <c r="U40" s="13"/>
      <c r="V40" s="13"/>
      <c r="W40" s="13"/>
      <c r="X40" s="13"/>
      <c r="Y40" s="13"/>
      <c r="Z40" s="13"/>
      <c r="AA40" s="13"/>
      <c r="AB40" s="13"/>
    </row>
    <row r="41" spans="1:28" x14ac:dyDescent="0.25">
      <c r="A41">
        <v>245</v>
      </c>
      <c r="B41">
        <v>1</v>
      </c>
      <c r="C41">
        <v>2.8192403313864089E-2</v>
      </c>
      <c r="D41">
        <v>0.24437625762679011</v>
      </c>
      <c r="E41">
        <v>3.0305042307125292</v>
      </c>
      <c r="F41">
        <v>3.272746341677415</v>
      </c>
      <c r="G41" s="1">
        <f t="shared" si="0"/>
        <v>3.1516252861949718</v>
      </c>
      <c r="H41" s="1">
        <f t="shared" si="1"/>
        <v>7.4063194225581839</v>
      </c>
      <c r="I41">
        <v>0</v>
      </c>
      <c r="J41">
        <v>0.99999999990190569</v>
      </c>
      <c r="L41" s="5"/>
      <c r="M41" s="5"/>
      <c r="N41" s="5"/>
      <c r="O41" s="5"/>
      <c r="P41" s="5"/>
      <c r="Q41" s="5"/>
      <c r="R41" s="5"/>
      <c r="S41" s="5"/>
      <c r="U41" s="13"/>
      <c r="V41" s="13"/>
      <c r="W41" s="13"/>
      <c r="X41" s="13"/>
      <c r="Y41" s="13"/>
      <c r="Z41" s="13"/>
      <c r="AA41" s="13"/>
      <c r="AB41" s="13"/>
    </row>
  </sheetData>
  <mergeCells count="1">
    <mergeCell ref="B4:J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9B52-D9A2-4557-A63A-DA709B6F545E}">
  <dimension ref="A1:AB41"/>
  <sheetViews>
    <sheetView workbookViewId="0">
      <selection activeCell="K7" sqref="K7"/>
    </sheetView>
  </sheetViews>
  <sheetFormatPr defaultRowHeight="15" x14ac:dyDescent="0.25"/>
  <cols>
    <col min="7" max="8" width="17.140625" customWidth="1"/>
    <col min="21" max="22" width="19.85546875" bestFit="1" customWidth="1"/>
    <col min="23" max="26" width="20.5703125" bestFit="1" customWidth="1"/>
    <col min="27" max="27" width="19.85546875" bestFit="1" customWidth="1"/>
    <col min="28" max="28" width="20.5703125" bestFit="1" customWidth="1"/>
  </cols>
  <sheetData>
    <row r="1" spans="1:28" x14ac:dyDescent="0.25">
      <c r="A1" t="s">
        <v>55</v>
      </c>
    </row>
    <row r="2" spans="1:28" x14ac:dyDescent="0.25">
      <c r="A2" t="s">
        <v>56</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0.99617560172530162</v>
      </c>
      <c r="C6">
        <v>0.35918817594843733</v>
      </c>
      <c r="D6">
        <v>0.17997282335889839</v>
      </c>
      <c r="E6">
        <v>5.7765197367531051</v>
      </c>
      <c r="F6">
        <v>5.953277525630237</v>
      </c>
      <c r="G6" s="1">
        <f>AVERAGE(E6:F6)</f>
        <v>5.8648986311916715</v>
      </c>
      <c r="H6" s="1">
        <f>2.35*G6</f>
        <v>13.782511783300428</v>
      </c>
      <c r="I6">
        <v>0</v>
      </c>
      <c r="J6">
        <v>0.94874379474195147</v>
      </c>
      <c r="L6" s="5"/>
      <c r="M6" s="5"/>
      <c r="N6" s="5"/>
      <c r="O6" s="5"/>
      <c r="P6" s="5"/>
      <c r="Q6" s="5"/>
      <c r="R6" s="5"/>
      <c r="S6" s="5"/>
      <c r="U6" s="14"/>
      <c r="V6" s="14"/>
      <c r="W6" s="14"/>
      <c r="X6" s="14"/>
      <c r="Y6" s="14"/>
      <c r="Z6" s="14"/>
      <c r="AA6" s="14"/>
      <c r="AB6" s="14"/>
    </row>
    <row r="7" spans="1:28" x14ac:dyDescent="0.25">
      <c r="A7">
        <v>75</v>
      </c>
      <c r="B7">
        <v>1</v>
      </c>
      <c r="C7">
        <v>-0.1104540920769288</v>
      </c>
      <c r="D7">
        <v>0.42801717942092121</v>
      </c>
      <c r="E7">
        <v>5.5260003971529876</v>
      </c>
      <c r="F7">
        <v>5.6588164093729834</v>
      </c>
      <c r="G7" s="1">
        <f t="shared" ref="G7:G41" si="0">AVERAGE(E7:F7)</f>
        <v>5.5924084032629855</v>
      </c>
      <c r="H7" s="1">
        <f t="shared" ref="H7:H41" si="1">2.35*G7</f>
        <v>13.142159747668016</v>
      </c>
      <c r="I7">
        <v>0</v>
      </c>
      <c r="J7">
        <v>0.93507378812498676</v>
      </c>
      <c r="L7" s="5"/>
      <c r="M7" s="5"/>
      <c r="N7" s="5"/>
      <c r="O7" s="5"/>
      <c r="P7" s="5"/>
      <c r="Q7" s="5"/>
      <c r="R7" s="5"/>
      <c r="S7" s="5"/>
      <c r="U7" s="14"/>
      <c r="V7" s="14"/>
      <c r="W7" s="14"/>
      <c r="X7" s="14"/>
      <c r="Y7" s="14"/>
      <c r="Z7" s="14"/>
      <c r="AA7" s="14"/>
      <c r="AB7" s="14"/>
    </row>
    <row r="8" spans="1:28" x14ac:dyDescent="0.25">
      <c r="A8">
        <v>80</v>
      </c>
      <c r="B8">
        <v>1</v>
      </c>
      <c r="C8">
        <v>0.13728485449126229</v>
      </c>
      <c r="D8">
        <v>0.53975970919319294</v>
      </c>
      <c r="E8">
        <v>5.3518266912373686</v>
      </c>
      <c r="F8">
        <v>5.5099014097409222</v>
      </c>
      <c r="G8" s="1">
        <f t="shared" si="0"/>
        <v>5.430864050489145</v>
      </c>
      <c r="H8" s="1">
        <f t="shared" si="1"/>
        <v>12.762530518649491</v>
      </c>
      <c r="I8">
        <v>0</v>
      </c>
      <c r="J8">
        <v>0.98189921111603984</v>
      </c>
      <c r="L8" s="5"/>
      <c r="M8" s="5"/>
      <c r="N8" s="5"/>
      <c r="O8" s="5"/>
      <c r="P8" s="5"/>
      <c r="Q8" s="5"/>
      <c r="R8" s="5"/>
      <c r="S8" s="5"/>
      <c r="U8" s="14"/>
      <c r="V8" s="14"/>
      <c r="W8" s="14"/>
      <c r="X8" s="14"/>
      <c r="Y8" s="14"/>
      <c r="Z8" s="14"/>
      <c r="AA8" s="14"/>
      <c r="AB8" s="14"/>
    </row>
    <row r="9" spans="1:28" x14ac:dyDescent="0.25">
      <c r="A9">
        <v>85</v>
      </c>
      <c r="B9">
        <v>1</v>
      </c>
      <c r="C9">
        <v>-3.5075886634340518E-2</v>
      </c>
      <c r="D9">
        <v>-0.2817688453078917</v>
      </c>
      <c r="E9">
        <v>5.1666428962233173</v>
      </c>
      <c r="F9">
        <v>5.3441553284535122</v>
      </c>
      <c r="G9" s="1">
        <f t="shared" si="0"/>
        <v>5.2553991123384147</v>
      </c>
      <c r="H9" s="1">
        <f t="shared" si="1"/>
        <v>12.350187913995276</v>
      </c>
      <c r="I9">
        <v>0</v>
      </c>
      <c r="J9">
        <v>0.98348945971889512</v>
      </c>
      <c r="L9" s="5"/>
      <c r="M9" s="5"/>
      <c r="N9" s="5"/>
      <c r="O9" s="5"/>
      <c r="P9" s="5"/>
      <c r="Q9" s="5"/>
      <c r="R9" s="5"/>
      <c r="S9" s="5"/>
      <c r="U9" s="14"/>
      <c r="V9" s="14"/>
      <c r="W9" s="14"/>
      <c r="X9" s="14"/>
      <c r="Y9" s="14"/>
      <c r="Z9" s="14"/>
      <c r="AA9" s="14"/>
      <c r="AB9" s="14"/>
    </row>
    <row r="10" spans="1:28" x14ac:dyDescent="0.25">
      <c r="A10">
        <v>90</v>
      </c>
      <c r="B10">
        <v>1</v>
      </c>
      <c r="C10">
        <v>0.15785602645188471</v>
      </c>
      <c r="D10">
        <v>0.21548520884542111</v>
      </c>
      <c r="E10">
        <v>5.0015822532190377</v>
      </c>
      <c r="F10">
        <v>5.21700991434414</v>
      </c>
      <c r="G10" s="1">
        <f t="shared" si="0"/>
        <v>5.1092960837815884</v>
      </c>
      <c r="H10" s="1">
        <f t="shared" si="1"/>
        <v>12.006845796886733</v>
      </c>
      <c r="I10">
        <v>0</v>
      </c>
      <c r="J10">
        <v>0.98957494059287421</v>
      </c>
      <c r="L10" s="5"/>
      <c r="M10" s="5"/>
      <c r="N10" s="5"/>
      <c r="O10" s="5"/>
      <c r="P10" s="5"/>
      <c r="Q10" s="5"/>
      <c r="R10" s="5"/>
      <c r="S10" s="5"/>
      <c r="U10" s="14"/>
      <c r="V10" s="14"/>
      <c r="W10" s="14"/>
      <c r="X10" s="14"/>
      <c r="Y10" s="14"/>
      <c r="Z10" s="14"/>
      <c r="AA10" s="14"/>
      <c r="AB10" s="14"/>
    </row>
    <row r="11" spans="1:28" x14ac:dyDescent="0.25">
      <c r="A11">
        <v>95</v>
      </c>
      <c r="B11">
        <v>0.99999999760312008</v>
      </c>
      <c r="C11">
        <v>-0.1587554963258252</v>
      </c>
      <c r="D11">
        <v>0.26352428794084798</v>
      </c>
      <c r="E11">
        <v>4.8340259700797104</v>
      </c>
      <c r="F11">
        <v>5.0842938084860494</v>
      </c>
      <c r="G11" s="1">
        <f t="shared" si="0"/>
        <v>4.9591598892828799</v>
      </c>
      <c r="H11" s="1">
        <f t="shared" si="1"/>
        <v>11.654025739814768</v>
      </c>
      <c r="I11">
        <v>0</v>
      </c>
      <c r="J11">
        <v>0.99167764503222344</v>
      </c>
      <c r="L11" s="5"/>
      <c r="M11" s="5"/>
      <c r="N11" s="5"/>
      <c r="O11" s="5"/>
      <c r="P11" s="5"/>
      <c r="Q11" s="5"/>
      <c r="R11" s="5"/>
      <c r="S11" s="5"/>
      <c r="U11" s="14"/>
      <c r="V11" s="14"/>
      <c r="W11" s="14"/>
      <c r="X11" s="14"/>
      <c r="Y11" s="14"/>
      <c r="Z11" s="14"/>
      <c r="AA11" s="14"/>
      <c r="AB11" s="14"/>
    </row>
    <row r="12" spans="1:28" x14ac:dyDescent="0.25">
      <c r="A12">
        <v>100</v>
      </c>
      <c r="B12">
        <v>1</v>
      </c>
      <c r="C12">
        <v>2.0258405505327641E-2</v>
      </c>
      <c r="D12">
        <v>1.437593425279296E-3</v>
      </c>
      <c r="E12">
        <v>4.678166142214871</v>
      </c>
      <c r="F12">
        <v>4.9466649144659147</v>
      </c>
      <c r="G12" s="1">
        <f t="shared" si="0"/>
        <v>4.8124155283403933</v>
      </c>
      <c r="H12" s="1">
        <f t="shared" si="1"/>
        <v>11.309176491599924</v>
      </c>
      <c r="I12">
        <v>0</v>
      </c>
      <c r="J12">
        <v>0.99281027899056506</v>
      </c>
      <c r="L12" s="5"/>
      <c r="M12" s="5"/>
      <c r="N12" s="5"/>
      <c r="O12" s="5"/>
      <c r="P12" s="5"/>
      <c r="Q12" s="5"/>
      <c r="R12" s="5"/>
      <c r="S12" s="5"/>
      <c r="U12" s="14"/>
      <c r="V12" s="14"/>
      <c r="W12" s="14"/>
      <c r="X12" s="14"/>
      <c r="Y12" s="14"/>
      <c r="Z12" s="14"/>
      <c r="AA12" s="14"/>
      <c r="AB12" s="14"/>
    </row>
    <row r="13" spans="1:28" x14ac:dyDescent="0.25">
      <c r="A13">
        <v>105</v>
      </c>
      <c r="B13">
        <v>1</v>
      </c>
      <c r="C13">
        <v>0.2252826589675013</v>
      </c>
      <c r="D13">
        <v>0.30812787064003427</v>
      </c>
      <c r="E13">
        <v>4.5526321806785859</v>
      </c>
      <c r="F13">
        <v>4.8193167448702656</v>
      </c>
      <c r="G13" s="1">
        <f t="shared" si="0"/>
        <v>4.6859744627744258</v>
      </c>
      <c r="H13" s="1">
        <f t="shared" si="1"/>
        <v>11.0120399875199</v>
      </c>
      <c r="I13">
        <v>0</v>
      </c>
      <c r="J13">
        <v>0.99535047985978853</v>
      </c>
      <c r="L13" s="5"/>
      <c r="M13" s="5"/>
      <c r="N13" s="5"/>
      <c r="O13" s="5"/>
      <c r="P13" s="5"/>
      <c r="Q13" s="5"/>
      <c r="R13" s="5"/>
      <c r="S13" s="5"/>
      <c r="U13" s="14"/>
      <c r="V13" s="14"/>
      <c r="W13" s="14"/>
      <c r="X13" s="14"/>
      <c r="Y13" s="14"/>
      <c r="Z13" s="14"/>
      <c r="AA13" s="14"/>
      <c r="AB13" s="14"/>
    </row>
    <row r="14" spans="1:28" x14ac:dyDescent="0.25">
      <c r="A14">
        <v>110</v>
      </c>
      <c r="B14">
        <v>0.99999999995154731</v>
      </c>
      <c r="C14">
        <v>-1.208620887370178E-2</v>
      </c>
      <c r="D14">
        <v>0.32332932477784498</v>
      </c>
      <c r="E14">
        <v>4.4218622200342352</v>
      </c>
      <c r="F14">
        <v>4.6840865321669387</v>
      </c>
      <c r="G14" s="1">
        <f t="shared" si="0"/>
        <v>4.552974376100587</v>
      </c>
      <c r="H14" s="1">
        <f t="shared" si="1"/>
        <v>10.69948978383638</v>
      </c>
      <c r="I14">
        <v>0</v>
      </c>
      <c r="J14">
        <v>0.99575382773618393</v>
      </c>
      <c r="L14" s="5"/>
      <c r="M14" s="5"/>
      <c r="N14" s="5"/>
      <c r="O14" s="5"/>
      <c r="P14" s="5"/>
      <c r="Q14" s="5"/>
      <c r="R14" s="5"/>
      <c r="S14" s="5"/>
      <c r="U14" s="14"/>
      <c r="V14" s="14"/>
      <c r="W14" s="14"/>
      <c r="X14" s="14"/>
      <c r="Y14" s="14"/>
      <c r="Z14" s="14"/>
      <c r="AA14" s="14"/>
      <c r="AB14" s="14"/>
    </row>
    <row r="15" spans="1:28" x14ac:dyDescent="0.25">
      <c r="A15">
        <v>115</v>
      </c>
      <c r="B15">
        <v>0.99999999999320177</v>
      </c>
      <c r="C15">
        <v>0.17931770312517489</v>
      </c>
      <c r="D15">
        <v>-7.7477876811589104E-4</v>
      </c>
      <c r="E15">
        <v>4.3349570419545591</v>
      </c>
      <c r="F15">
        <v>4.5681315534005407</v>
      </c>
      <c r="G15" s="1">
        <f t="shared" si="0"/>
        <v>4.4515442976775503</v>
      </c>
      <c r="H15" s="1">
        <f t="shared" si="1"/>
        <v>10.461129099542244</v>
      </c>
      <c r="I15">
        <v>0</v>
      </c>
      <c r="J15">
        <v>0.99737882683079848</v>
      </c>
      <c r="L15" s="5"/>
      <c r="M15" s="5"/>
      <c r="N15" s="5"/>
      <c r="O15" s="5"/>
      <c r="P15" s="5"/>
      <c r="Q15" s="5"/>
      <c r="R15" s="5"/>
      <c r="S15" s="5"/>
      <c r="U15" s="14"/>
      <c r="V15" s="14"/>
      <c r="W15" s="14"/>
      <c r="X15" s="14"/>
      <c r="Y15" s="14"/>
      <c r="Z15" s="14"/>
      <c r="AA15" s="14"/>
      <c r="AB15" s="14"/>
    </row>
    <row r="16" spans="1:28" x14ac:dyDescent="0.25">
      <c r="A16">
        <v>120</v>
      </c>
      <c r="B16">
        <v>0.99999999999990852</v>
      </c>
      <c r="C16">
        <v>8.3768219380905527E-3</v>
      </c>
      <c r="D16">
        <v>0.24009138938752311</v>
      </c>
      <c r="E16">
        <v>4.257580485508309</v>
      </c>
      <c r="F16">
        <v>4.4940201071249186</v>
      </c>
      <c r="G16" s="1">
        <f t="shared" si="0"/>
        <v>4.3758002963166138</v>
      </c>
      <c r="H16" s="1">
        <f t="shared" si="1"/>
        <v>10.283130696344044</v>
      </c>
      <c r="I16">
        <v>0</v>
      </c>
      <c r="J16">
        <v>0.99887994012176817</v>
      </c>
      <c r="L16" s="5"/>
      <c r="M16" s="5"/>
      <c r="N16" s="5"/>
      <c r="O16" s="5"/>
      <c r="P16" s="5"/>
      <c r="Q16" s="5"/>
      <c r="R16" s="5"/>
      <c r="S16" s="5"/>
      <c r="U16" s="14"/>
      <c r="V16" s="14"/>
      <c r="W16" s="14"/>
      <c r="X16" s="14"/>
      <c r="Y16" s="14"/>
      <c r="Z16" s="14"/>
      <c r="AA16" s="14"/>
      <c r="AB16" s="14"/>
    </row>
    <row r="17" spans="1:28" x14ac:dyDescent="0.25">
      <c r="A17">
        <v>125</v>
      </c>
      <c r="B17">
        <v>0.99999999999999967</v>
      </c>
      <c r="C17">
        <v>7.0215391316638551E-2</v>
      </c>
      <c r="D17">
        <v>0.25165345929793298</v>
      </c>
      <c r="E17">
        <v>4.1106434898569058</v>
      </c>
      <c r="F17">
        <v>4.3519458969277958</v>
      </c>
      <c r="G17" s="1">
        <f t="shared" si="0"/>
        <v>4.2312946933923508</v>
      </c>
      <c r="H17" s="1">
        <f t="shared" si="1"/>
        <v>9.9435425294720243</v>
      </c>
      <c r="I17">
        <v>0</v>
      </c>
      <c r="J17">
        <v>0.99999999999999478</v>
      </c>
      <c r="L17" s="5"/>
      <c r="M17" s="5"/>
      <c r="N17" s="5"/>
      <c r="O17" s="5"/>
      <c r="P17" s="5"/>
      <c r="Q17" s="5"/>
      <c r="R17" s="5"/>
      <c r="S17" s="5"/>
      <c r="U17" s="14"/>
      <c r="V17" s="14"/>
      <c r="W17" s="14"/>
      <c r="X17" s="14"/>
      <c r="Y17" s="14"/>
      <c r="Z17" s="14"/>
      <c r="AA17" s="14"/>
      <c r="AB17" s="14"/>
    </row>
    <row r="18" spans="1:28" x14ac:dyDescent="0.25">
      <c r="A18">
        <v>130</v>
      </c>
      <c r="B18">
        <v>1</v>
      </c>
      <c r="C18">
        <v>0.21704098800812349</v>
      </c>
      <c r="D18">
        <v>0.18919969476092471</v>
      </c>
      <c r="E18">
        <v>4.0924487946212302</v>
      </c>
      <c r="F18">
        <v>4.2940748974821696</v>
      </c>
      <c r="G18" s="1">
        <f t="shared" si="0"/>
        <v>4.1932618460516995</v>
      </c>
      <c r="H18" s="1">
        <f t="shared" si="1"/>
        <v>9.8541653382214935</v>
      </c>
      <c r="I18">
        <v>0</v>
      </c>
      <c r="J18">
        <v>0.89238194983254315</v>
      </c>
      <c r="L18" s="5"/>
      <c r="M18" s="5"/>
      <c r="N18" s="5"/>
      <c r="O18" s="5"/>
      <c r="P18" s="5"/>
      <c r="Q18" s="5"/>
      <c r="R18" s="5"/>
      <c r="S18" s="5"/>
      <c r="U18" s="14"/>
      <c r="V18" s="14"/>
      <c r="W18" s="14"/>
      <c r="X18" s="14"/>
      <c r="Y18" s="14"/>
      <c r="Z18" s="14"/>
      <c r="AA18" s="14"/>
      <c r="AB18" s="14"/>
    </row>
    <row r="19" spans="1:28" x14ac:dyDescent="0.25">
      <c r="A19">
        <v>135</v>
      </c>
      <c r="B19">
        <v>0.99999999980554921</v>
      </c>
      <c r="C19">
        <v>-0.12082488211188711</v>
      </c>
      <c r="D19">
        <v>0.25158422082460219</v>
      </c>
      <c r="E19">
        <v>4.0419837172874313</v>
      </c>
      <c r="F19">
        <v>4.2357656188222457</v>
      </c>
      <c r="G19" s="1">
        <f t="shared" si="0"/>
        <v>4.1388746680548385</v>
      </c>
      <c r="H19" s="1">
        <f t="shared" si="1"/>
        <v>9.7263554699288708</v>
      </c>
      <c r="I19">
        <v>0</v>
      </c>
      <c r="J19">
        <v>0.88416039189973095</v>
      </c>
      <c r="L19" s="5"/>
      <c r="M19" s="5"/>
      <c r="N19" s="5"/>
      <c r="O19" s="5"/>
      <c r="P19" s="5"/>
      <c r="Q19" s="5"/>
      <c r="R19" s="5"/>
      <c r="S19" s="5"/>
      <c r="U19" s="14"/>
      <c r="V19" s="14"/>
      <c r="W19" s="14"/>
      <c r="X19" s="14"/>
      <c r="Y19" s="14"/>
      <c r="Z19" s="14"/>
      <c r="AA19" s="14"/>
      <c r="AB19" s="14"/>
    </row>
    <row r="20" spans="1:28" x14ac:dyDescent="0.25">
      <c r="A20">
        <v>140</v>
      </c>
      <c r="B20">
        <v>0.99999999999</v>
      </c>
      <c r="C20">
        <v>-0.1235621536879222</v>
      </c>
      <c r="D20">
        <v>0.1377299275503823</v>
      </c>
      <c r="E20">
        <v>4.0018148148941997</v>
      </c>
      <c r="F20">
        <v>4.1816562445161694</v>
      </c>
      <c r="G20" s="1">
        <f t="shared" si="0"/>
        <v>4.0917355297051845</v>
      </c>
      <c r="H20" s="1">
        <f t="shared" si="1"/>
        <v>9.6155784948071847</v>
      </c>
      <c r="I20">
        <v>0</v>
      </c>
      <c r="J20">
        <v>0.9993707026698162</v>
      </c>
      <c r="L20" s="5"/>
      <c r="M20" s="5"/>
      <c r="N20" s="5"/>
      <c r="O20" s="5"/>
      <c r="P20" s="5"/>
      <c r="Q20" s="5"/>
      <c r="R20" s="5"/>
      <c r="S20" s="5"/>
      <c r="U20" s="14"/>
      <c r="V20" s="14"/>
      <c r="W20" s="14"/>
      <c r="X20" s="14"/>
      <c r="Y20" s="14"/>
      <c r="Z20" s="14"/>
      <c r="AA20" s="14"/>
      <c r="AB20" s="14"/>
    </row>
    <row r="21" spans="1:28" x14ac:dyDescent="0.25">
      <c r="A21">
        <v>145</v>
      </c>
      <c r="B21">
        <v>1</v>
      </c>
      <c r="C21">
        <v>-5.9815096181307023E-2</v>
      </c>
      <c r="D21">
        <v>0.45850692861402981</v>
      </c>
      <c r="E21">
        <v>3.9082906868957772</v>
      </c>
      <c r="F21">
        <v>4.1077494145716313</v>
      </c>
      <c r="G21" s="1">
        <f t="shared" si="0"/>
        <v>4.0080200507337045</v>
      </c>
      <c r="H21" s="1">
        <f t="shared" si="1"/>
        <v>9.4188471192242051</v>
      </c>
      <c r="I21">
        <v>0</v>
      </c>
      <c r="J21">
        <v>0.99999997431206511</v>
      </c>
      <c r="L21" s="5"/>
      <c r="M21" s="5"/>
      <c r="N21" s="5"/>
      <c r="O21" s="5"/>
      <c r="P21" s="5"/>
      <c r="Q21" s="5"/>
      <c r="R21" s="5"/>
      <c r="S21" s="5"/>
      <c r="U21" s="14"/>
      <c r="V21" s="14"/>
      <c r="W21" s="14"/>
      <c r="X21" s="14"/>
      <c r="Y21" s="14"/>
      <c r="Z21" s="14"/>
      <c r="AA21" s="14"/>
      <c r="AB21" s="14"/>
    </row>
    <row r="22" spans="1:28" x14ac:dyDescent="0.25">
      <c r="A22">
        <v>150</v>
      </c>
      <c r="B22">
        <v>1</v>
      </c>
      <c r="C22">
        <v>-0.13318478162584421</v>
      </c>
      <c r="D22">
        <v>0.40262815537220581</v>
      </c>
      <c r="E22">
        <v>3.8866969555796018</v>
      </c>
      <c r="F22">
        <v>4.0669978441508912</v>
      </c>
      <c r="G22" s="1">
        <f t="shared" si="0"/>
        <v>3.9768473998652465</v>
      </c>
      <c r="H22" s="1">
        <f t="shared" si="1"/>
        <v>9.3455913896833298</v>
      </c>
      <c r="I22">
        <v>0</v>
      </c>
      <c r="J22">
        <v>0.91299559708911959</v>
      </c>
      <c r="L22" s="5"/>
      <c r="M22" s="5"/>
      <c r="N22" s="5"/>
      <c r="O22" s="5"/>
      <c r="P22" s="5"/>
      <c r="Q22" s="5"/>
      <c r="R22" s="5"/>
      <c r="S22" s="5"/>
      <c r="U22" s="14"/>
      <c r="V22" s="14"/>
      <c r="W22" s="14"/>
      <c r="X22" s="14"/>
      <c r="Y22" s="14"/>
      <c r="Z22" s="14"/>
      <c r="AA22" s="14"/>
      <c r="AB22" s="14"/>
    </row>
    <row r="23" spans="1:28" x14ac:dyDescent="0.25">
      <c r="A23">
        <v>155</v>
      </c>
      <c r="B23">
        <v>1</v>
      </c>
      <c r="C23">
        <v>-0.25742161591017548</v>
      </c>
      <c r="D23">
        <v>0.1277837673572339</v>
      </c>
      <c r="E23">
        <v>3.838804949488281</v>
      </c>
      <c r="F23">
        <v>4.0210883319988913</v>
      </c>
      <c r="G23" s="1">
        <f t="shared" si="0"/>
        <v>3.9299466407435864</v>
      </c>
      <c r="H23" s="1">
        <f t="shared" si="1"/>
        <v>9.2353746057474275</v>
      </c>
      <c r="I23">
        <v>0</v>
      </c>
      <c r="J23">
        <v>0.99999999907116444</v>
      </c>
      <c r="L23" s="5"/>
      <c r="M23" s="5"/>
      <c r="N23" s="5"/>
      <c r="O23" s="5"/>
      <c r="P23" s="5"/>
      <c r="Q23" s="5"/>
      <c r="R23" s="5"/>
      <c r="S23" s="5"/>
      <c r="U23" s="14"/>
      <c r="V23" s="14"/>
      <c r="W23" s="14"/>
      <c r="X23" s="14"/>
      <c r="Y23" s="14"/>
      <c r="Z23" s="14"/>
      <c r="AA23" s="14"/>
      <c r="AB23" s="14"/>
    </row>
    <row r="24" spans="1:28" x14ac:dyDescent="0.25">
      <c r="A24">
        <v>160</v>
      </c>
      <c r="B24">
        <v>1</v>
      </c>
      <c r="C24">
        <v>-4.9656688078746312E-2</v>
      </c>
      <c r="D24">
        <v>0.38691420374854962</v>
      </c>
      <c r="E24">
        <v>3.7685985000536002</v>
      </c>
      <c r="F24">
        <v>3.9698577154086458</v>
      </c>
      <c r="G24" s="1">
        <f t="shared" si="0"/>
        <v>3.8692281077311232</v>
      </c>
      <c r="H24" s="1">
        <f t="shared" si="1"/>
        <v>9.0926860531681406</v>
      </c>
      <c r="I24">
        <v>0</v>
      </c>
      <c r="J24">
        <v>1</v>
      </c>
      <c r="L24" s="5"/>
      <c r="M24" s="5"/>
      <c r="N24" s="5"/>
      <c r="O24" s="5"/>
      <c r="P24" s="5"/>
      <c r="Q24" s="5"/>
      <c r="R24" s="5"/>
      <c r="S24" s="5"/>
      <c r="U24" s="14"/>
      <c r="V24" s="14"/>
      <c r="W24" s="14"/>
      <c r="X24" s="14"/>
      <c r="Y24" s="14"/>
      <c r="Z24" s="14"/>
      <c r="AA24" s="14"/>
      <c r="AB24" s="14"/>
    </row>
    <row r="25" spans="1:28" x14ac:dyDescent="0.25">
      <c r="A25">
        <v>165</v>
      </c>
      <c r="B25">
        <v>1</v>
      </c>
      <c r="C25">
        <v>-0.19889771590530439</v>
      </c>
      <c r="D25">
        <v>0.12781765520696969</v>
      </c>
      <c r="E25">
        <v>3.7059273577303071</v>
      </c>
      <c r="F25">
        <v>3.914203274190597</v>
      </c>
      <c r="G25" s="1">
        <f t="shared" si="0"/>
        <v>3.8100653159604523</v>
      </c>
      <c r="H25" s="1">
        <f t="shared" si="1"/>
        <v>8.9536534925070637</v>
      </c>
      <c r="I25">
        <v>0</v>
      </c>
      <c r="J25">
        <v>1</v>
      </c>
      <c r="L25" s="5"/>
      <c r="M25" s="5"/>
      <c r="N25" s="5"/>
      <c r="O25" s="5"/>
      <c r="P25" s="5"/>
      <c r="Q25" s="5"/>
      <c r="R25" s="5"/>
      <c r="S25" s="5"/>
      <c r="U25" s="14"/>
      <c r="V25" s="14"/>
      <c r="W25" s="14"/>
      <c r="X25" s="14"/>
      <c r="Y25" s="14"/>
      <c r="Z25" s="14"/>
      <c r="AA25" s="14"/>
      <c r="AB25" s="14"/>
    </row>
    <row r="26" spans="1:28" x14ac:dyDescent="0.25">
      <c r="A26">
        <v>170</v>
      </c>
      <c r="B26">
        <v>1</v>
      </c>
      <c r="C26">
        <v>-2.5621520455633572E-3</v>
      </c>
      <c r="D26">
        <v>0.13668220258490049</v>
      </c>
      <c r="E26">
        <v>3.683166258437836</v>
      </c>
      <c r="F26">
        <v>3.904307126480222</v>
      </c>
      <c r="G26" s="1">
        <f t="shared" si="0"/>
        <v>3.7937366924590288</v>
      </c>
      <c r="H26" s="1">
        <f t="shared" si="1"/>
        <v>8.9152812272787187</v>
      </c>
      <c r="I26">
        <v>0</v>
      </c>
      <c r="J26">
        <v>0.99999999999968503</v>
      </c>
      <c r="L26" s="5"/>
      <c r="M26" s="5"/>
      <c r="N26" s="5"/>
      <c r="O26" s="5"/>
      <c r="P26" s="5"/>
      <c r="Q26" s="5"/>
      <c r="R26" s="5"/>
      <c r="S26" s="5"/>
      <c r="U26" s="14"/>
      <c r="V26" s="14"/>
      <c r="W26" s="14"/>
      <c r="X26" s="14"/>
      <c r="Y26" s="14"/>
      <c r="Z26" s="14"/>
      <c r="AA26" s="14"/>
      <c r="AB26" s="14"/>
    </row>
    <row r="27" spans="1:28" x14ac:dyDescent="0.25">
      <c r="A27">
        <v>175</v>
      </c>
      <c r="B27">
        <v>1</v>
      </c>
      <c r="C27">
        <v>8.9412557978914599E-3</v>
      </c>
      <c r="D27">
        <v>-5.0130494415644662E-2</v>
      </c>
      <c r="E27">
        <v>3.6164109376871099</v>
      </c>
      <c r="F27">
        <v>3.8307816195767521</v>
      </c>
      <c r="G27" s="1">
        <f t="shared" si="0"/>
        <v>3.723596278631931</v>
      </c>
      <c r="H27" s="1">
        <f t="shared" si="1"/>
        <v>8.7504512547850375</v>
      </c>
      <c r="I27">
        <v>0</v>
      </c>
      <c r="J27">
        <v>0.99999999999536282</v>
      </c>
      <c r="L27" s="5"/>
      <c r="M27" s="5"/>
      <c r="N27" s="5"/>
      <c r="O27" s="5"/>
      <c r="P27" s="5"/>
      <c r="Q27" s="5"/>
      <c r="R27" s="5"/>
      <c r="S27" s="5"/>
      <c r="U27" s="14"/>
      <c r="V27" s="14"/>
      <c r="W27" s="14"/>
      <c r="X27" s="14"/>
      <c r="Y27" s="14"/>
      <c r="Z27" s="14"/>
      <c r="AA27" s="14"/>
      <c r="AB27" s="14"/>
    </row>
    <row r="28" spans="1:28" x14ac:dyDescent="0.25">
      <c r="A28">
        <v>180</v>
      </c>
      <c r="B28">
        <v>1</v>
      </c>
      <c r="C28">
        <v>-9.7066069109852007E-2</v>
      </c>
      <c r="D28">
        <v>0.25526879070583142</v>
      </c>
      <c r="E28">
        <v>3.5695423446221528</v>
      </c>
      <c r="F28">
        <v>3.7864216747410731</v>
      </c>
      <c r="G28" s="1">
        <f t="shared" si="0"/>
        <v>3.6779820096816129</v>
      </c>
      <c r="H28" s="1">
        <f t="shared" si="1"/>
        <v>8.6432577227517911</v>
      </c>
      <c r="I28">
        <v>0</v>
      </c>
      <c r="J28">
        <v>0.99999999998837075</v>
      </c>
      <c r="L28" s="5"/>
      <c r="M28" s="5"/>
      <c r="N28" s="5"/>
      <c r="O28" s="5"/>
      <c r="P28" s="5"/>
      <c r="Q28" s="5"/>
      <c r="R28" s="5"/>
      <c r="S28" s="5"/>
      <c r="U28" s="14"/>
      <c r="V28" s="14"/>
      <c r="W28" s="14"/>
      <c r="X28" s="14"/>
      <c r="Y28" s="14"/>
      <c r="Z28" s="14"/>
      <c r="AA28" s="14"/>
      <c r="AB28" s="14"/>
    </row>
    <row r="29" spans="1:28" x14ac:dyDescent="0.25">
      <c r="A29">
        <v>185</v>
      </c>
      <c r="B29">
        <v>1</v>
      </c>
      <c r="C29">
        <v>-9.2499901570577803E-2</v>
      </c>
      <c r="D29">
        <v>-0.13508447473704879</v>
      </c>
      <c r="E29">
        <v>3.5368533072847779</v>
      </c>
      <c r="F29">
        <v>3.7279370946668728</v>
      </c>
      <c r="G29" s="1">
        <f t="shared" si="0"/>
        <v>3.6323952009758251</v>
      </c>
      <c r="H29" s="1">
        <f t="shared" si="1"/>
        <v>8.5361287222931885</v>
      </c>
      <c r="I29">
        <v>0</v>
      </c>
      <c r="J29">
        <v>0.99999999998535527</v>
      </c>
      <c r="L29" s="5"/>
      <c r="M29" s="5"/>
      <c r="N29" s="5"/>
      <c r="O29" s="5"/>
      <c r="P29" s="5"/>
      <c r="Q29" s="5"/>
      <c r="R29" s="5"/>
      <c r="S29" s="5"/>
      <c r="U29" s="14"/>
      <c r="V29" s="14"/>
      <c r="W29" s="14"/>
      <c r="X29" s="14"/>
      <c r="Y29" s="14"/>
      <c r="Z29" s="14"/>
      <c r="AA29" s="14"/>
      <c r="AB29" s="14"/>
    </row>
    <row r="30" spans="1:28" x14ac:dyDescent="0.25">
      <c r="A30">
        <v>190</v>
      </c>
      <c r="B30">
        <v>1</v>
      </c>
      <c r="C30">
        <v>6.8986486921217741E-2</v>
      </c>
      <c r="D30">
        <v>0.16275426606950491</v>
      </c>
      <c r="E30">
        <v>3.5063384221602849</v>
      </c>
      <c r="F30">
        <v>3.6863966783453148</v>
      </c>
      <c r="G30" s="1">
        <f t="shared" si="0"/>
        <v>3.5963675502527996</v>
      </c>
      <c r="H30" s="1">
        <f t="shared" si="1"/>
        <v>8.4514637430940791</v>
      </c>
      <c r="I30">
        <v>0</v>
      </c>
      <c r="J30">
        <v>0.99999999998721145</v>
      </c>
      <c r="L30" s="5"/>
      <c r="M30" s="5"/>
      <c r="N30" s="5"/>
      <c r="O30" s="5"/>
      <c r="P30" s="5"/>
      <c r="Q30" s="5"/>
      <c r="R30" s="5"/>
      <c r="S30" s="5"/>
      <c r="U30" s="14"/>
      <c r="V30" s="14"/>
      <c r="W30" s="14"/>
      <c r="X30" s="14"/>
      <c r="Y30" s="14"/>
      <c r="Z30" s="14"/>
      <c r="AA30" s="14"/>
      <c r="AB30" s="14"/>
    </row>
    <row r="31" spans="1:28" x14ac:dyDescent="0.25">
      <c r="A31">
        <v>195</v>
      </c>
      <c r="B31">
        <v>1</v>
      </c>
      <c r="C31">
        <v>8.9609239665823112E-2</v>
      </c>
      <c r="D31">
        <v>0.14727498526960789</v>
      </c>
      <c r="E31">
        <v>3.4888213438090938</v>
      </c>
      <c r="F31">
        <v>3.6515824452400421</v>
      </c>
      <c r="G31" s="1">
        <f t="shared" si="0"/>
        <v>3.5702018945245682</v>
      </c>
      <c r="H31" s="1">
        <f t="shared" si="1"/>
        <v>8.3899744521327353</v>
      </c>
      <c r="I31">
        <v>0</v>
      </c>
      <c r="J31">
        <v>0.99999999998778311</v>
      </c>
      <c r="L31" s="5"/>
      <c r="M31" s="5"/>
      <c r="N31" s="5"/>
      <c r="O31" s="5"/>
      <c r="P31" s="5"/>
      <c r="Q31" s="5"/>
      <c r="R31" s="5"/>
      <c r="S31" s="5"/>
      <c r="U31" s="14"/>
      <c r="V31" s="14"/>
      <c r="W31" s="14"/>
      <c r="X31" s="14"/>
      <c r="Y31" s="14"/>
      <c r="Z31" s="14"/>
      <c r="AA31" s="14"/>
      <c r="AB31" s="14"/>
    </row>
    <row r="32" spans="1:28" x14ac:dyDescent="0.25">
      <c r="A32">
        <v>200</v>
      </c>
      <c r="B32">
        <v>1</v>
      </c>
      <c r="C32">
        <v>-0.1228025535968012</v>
      </c>
      <c r="D32">
        <v>0.1377909255212165</v>
      </c>
      <c r="E32">
        <v>3.450623311101833</v>
      </c>
      <c r="F32">
        <v>3.5918676658714159</v>
      </c>
      <c r="G32" s="1">
        <f t="shared" si="0"/>
        <v>3.5212454884866244</v>
      </c>
      <c r="H32" s="1">
        <f t="shared" si="1"/>
        <v>8.2749268979435673</v>
      </c>
      <c r="I32">
        <v>0</v>
      </c>
      <c r="J32">
        <v>0.99999999999999989</v>
      </c>
      <c r="L32" s="5"/>
      <c r="M32" s="5"/>
      <c r="N32" s="5"/>
      <c r="O32" s="5"/>
      <c r="P32" s="5"/>
      <c r="Q32" s="5"/>
      <c r="R32" s="5"/>
      <c r="S32" s="5"/>
      <c r="U32" s="14"/>
      <c r="V32" s="14"/>
      <c r="W32" s="14"/>
      <c r="X32" s="14"/>
      <c r="Y32" s="14"/>
      <c r="Z32" s="14"/>
      <c r="AA32" s="14"/>
      <c r="AB32" s="14"/>
    </row>
    <row r="33" spans="1:28" x14ac:dyDescent="0.25">
      <c r="A33">
        <v>205</v>
      </c>
      <c r="B33">
        <v>1</v>
      </c>
      <c r="C33">
        <v>-6.5797171625336964E-2</v>
      </c>
      <c r="D33">
        <v>0.36661936951807589</v>
      </c>
      <c r="E33">
        <v>3.3777620694724049</v>
      </c>
      <c r="F33">
        <v>3.49875212338371</v>
      </c>
      <c r="G33" s="1">
        <f t="shared" si="0"/>
        <v>3.4382570964280577</v>
      </c>
      <c r="H33" s="1">
        <f t="shared" si="1"/>
        <v>8.0799041766059361</v>
      </c>
      <c r="I33">
        <v>0</v>
      </c>
      <c r="J33">
        <v>0.99999999999999778</v>
      </c>
      <c r="L33" s="5"/>
      <c r="M33" s="5"/>
      <c r="N33" s="5"/>
      <c r="O33" s="5"/>
      <c r="P33" s="5"/>
      <c r="Q33" s="5"/>
      <c r="R33" s="5"/>
      <c r="S33" s="5"/>
      <c r="U33" s="14"/>
      <c r="V33" s="14"/>
      <c r="W33" s="14"/>
      <c r="X33" s="14"/>
      <c r="Y33" s="14"/>
      <c r="Z33" s="14"/>
      <c r="AA33" s="14"/>
      <c r="AB33" s="14"/>
    </row>
    <row r="34" spans="1:28" x14ac:dyDescent="0.25">
      <c r="A34">
        <v>210</v>
      </c>
      <c r="B34">
        <v>1</v>
      </c>
      <c r="C34">
        <v>-0.19633034808480521</v>
      </c>
      <c r="D34">
        <v>0.17905333800576531</v>
      </c>
      <c r="E34">
        <v>3.358910041565927</v>
      </c>
      <c r="F34">
        <v>3.4542026873019069</v>
      </c>
      <c r="G34" s="1">
        <f t="shared" si="0"/>
        <v>3.406556364433917</v>
      </c>
      <c r="H34" s="1">
        <f t="shared" si="1"/>
        <v>8.0054074564197055</v>
      </c>
      <c r="I34">
        <v>0</v>
      </c>
      <c r="J34">
        <v>1</v>
      </c>
      <c r="L34" s="5"/>
      <c r="M34" s="5"/>
      <c r="N34" s="5"/>
      <c r="O34" s="5"/>
      <c r="P34" s="5"/>
      <c r="Q34" s="5"/>
      <c r="R34" s="5"/>
      <c r="S34" s="5"/>
      <c r="U34" s="14"/>
      <c r="V34" s="14"/>
      <c r="W34" s="14"/>
      <c r="X34" s="14"/>
      <c r="Y34" s="14"/>
      <c r="Z34" s="14"/>
      <c r="AA34" s="14"/>
      <c r="AB34" s="14"/>
    </row>
    <row r="35" spans="1:28" x14ac:dyDescent="0.25">
      <c r="A35">
        <v>215</v>
      </c>
      <c r="B35">
        <v>1</v>
      </c>
      <c r="C35">
        <v>9.5479800956968855E-2</v>
      </c>
      <c r="D35">
        <v>0.235916481205665</v>
      </c>
      <c r="E35">
        <v>3.3203944648480652</v>
      </c>
      <c r="F35">
        <v>3.3943795542454671</v>
      </c>
      <c r="G35" s="1">
        <f t="shared" si="0"/>
        <v>3.3573870095467662</v>
      </c>
      <c r="H35" s="1">
        <f t="shared" si="1"/>
        <v>7.8898594724349005</v>
      </c>
      <c r="I35">
        <v>0</v>
      </c>
      <c r="J35">
        <v>0.99999999835900732</v>
      </c>
      <c r="L35" s="5"/>
      <c r="M35" s="5"/>
      <c r="N35" s="5"/>
      <c r="O35" s="5"/>
      <c r="P35" s="5"/>
      <c r="Q35" s="5"/>
      <c r="R35" s="5"/>
      <c r="S35" s="5"/>
      <c r="U35" s="14"/>
      <c r="V35" s="14"/>
      <c r="W35" s="14"/>
      <c r="X35" s="14"/>
      <c r="Y35" s="14"/>
      <c r="Z35" s="14"/>
      <c r="AA35" s="14"/>
      <c r="AB35" s="14"/>
    </row>
    <row r="36" spans="1:28" x14ac:dyDescent="0.25">
      <c r="A36">
        <v>220</v>
      </c>
      <c r="B36">
        <v>1</v>
      </c>
      <c r="C36">
        <v>-0.1727247358178885</v>
      </c>
      <c r="D36">
        <v>0.34536536763403491</v>
      </c>
      <c r="E36">
        <v>3.2978234725677251</v>
      </c>
      <c r="F36">
        <v>3.3310498151035861</v>
      </c>
      <c r="G36" s="1">
        <f t="shared" si="0"/>
        <v>3.3144366438356556</v>
      </c>
      <c r="H36" s="1">
        <f t="shared" si="1"/>
        <v>7.7889261130137912</v>
      </c>
      <c r="I36">
        <v>0</v>
      </c>
      <c r="J36">
        <v>0.99999999584206223</v>
      </c>
      <c r="L36" s="5"/>
      <c r="M36" s="5"/>
      <c r="N36" s="5"/>
      <c r="O36" s="5"/>
      <c r="P36" s="5"/>
      <c r="Q36" s="5"/>
      <c r="R36" s="5"/>
      <c r="S36" s="5"/>
      <c r="U36" s="14"/>
      <c r="V36" s="14"/>
      <c r="W36" s="14"/>
      <c r="X36" s="14"/>
      <c r="Y36" s="14"/>
      <c r="Z36" s="14"/>
      <c r="AA36" s="14"/>
      <c r="AB36" s="14"/>
    </row>
    <row r="37" spans="1:28" x14ac:dyDescent="0.25">
      <c r="A37">
        <v>225</v>
      </c>
      <c r="B37">
        <v>1</v>
      </c>
      <c r="C37">
        <v>-0.15423421993695419</v>
      </c>
      <c r="D37">
        <v>0.39079586383825288</v>
      </c>
      <c r="E37">
        <v>3.2773449436051671</v>
      </c>
      <c r="F37">
        <v>3.2686761755476832</v>
      </c>
      <c r="G37" s="1">
        <f t="shared" si="0"/>
        <v>3.2730105595764254</v>
      </c>
      <c r="H37" s="1">
        <f t="shared" si="1"/>
        <v>7.6915748150045999</v>
      </c>
      <c r="I37">
        <v>0</v>
      </c>
      <c r="J37">
        <v>0.99999594911599243</v>
      </c>
      <c r="L37" s="5"/>
      <c r="M37" s="5"/>
      <c r="N37" s="5"/>
      <c r="O37" s="5"/>
      <c r="P37" s="5"/>
      <c r="Q37" s="5"/>
      <c r="R37" s="5"/>
      <c r="S37" s="5"/>
      <c r="U37" s="14"/>
      <c r="V37" s="14"/>
      <c r="W37" s="14"/>
      <c r="X37" s="14"/>
      <c r="Y37" s="14"/>
      <c r="Z37" s="14"/>
      <c r="AA37" s="14"/>
      <c r="AB37" s="14"/>
    </row>
    <row r="38" spans="1:28" x14ac:dyDescent="0.25">
      <c r="A38">
        <v>230</v>
      </c>
      <c r="B38">
        <v>1</v>
      </c>
      <c r="C38">
        <v>-0.1170627852848395</v>
      </c>
      <c r="D38">
        <v>0.50675259955363949</v>
      </c>
      <c r="E38">
        <v>3.28917553499649</v>
      </c>
      <c r="F38">
        <v>3.230041993838344</v>
      </c>
      <c r="G38" s="1">
        <f t="shared" si="0"/>
        <v>3.259608764417417</v>
      </c>
      <c r="H38" s="1">
        <f t="shared" si="1"/>
        <v>7.6600805963809302</v>
      </c>
      <c r="I38">
        <v>0</v>
      </c>
      <c r="J38">
        <v>0.99996039541211956</v>
      </c>
      <c r="L38" s="5"/>
      <c r="M38" s="5"/>
      <c r="N38" s="5"/>
      <c r="O38" s="5"/>
      <c r="P38" s="5"/>
      <c r="Q38" s="5"/>
      <c r="R38" s="5"/>
      <c r="S38" s="5"/>
      <c r="U38" s="14"/>
      <c r="V38" s="14"/>
      <c r="W38" s="14"/>
      <c r="X38" s="14"/>
      <c r="Y38" s="14"/>
      <c r="Z38" s="14"/>
      <c r="AA38" s="14"/>
      <c r="AB38" s="14"/>
    </row>
    <row r="39" spans="1:28" x14ac:dyDescent="0.25">
      <c r="A39">
        <v>235</v>
      </c>
      <c r="B39">
        <v>1</v>
      </c>
      <c r="C39">
        <v>-9.5793179526735245E-2</v>
      </c>
      <c r="D39">
        <v>9.5839871185391085E-2</v>
      </c>
      <c r="E39">
        <v>3.2933632669200938</v>
      </c>
      <c r="F39">
        <v>3.1978067028350261</v>
      </c>
      <c r="G39" s="1">
        <f t="shared" si="0"/>
        <v>3.24558498487756</v>
      </c>
      <c r="H39" s="1">
        <f t="shared" si="1"/>
        <v>7.6271247144622665</v>
      </c>
      <c r="I39">
        <v>0</v>
      </c>
      <c r="J39">
        <v>0.99948469931894302</v>
      </c>
      <c r="L39" s="5"/>
      <c r="M39" s="5"/>
      <c r="N39" s="5"/>
      <c r="O39" s="5"/>
      <c r="P39" s="5"/>
      <c r="Q39" s="5"/>
      <c r="R39" s="5"/>
      <c r="S39" s="5"/>
      <c r="U39" s="14"/>
      <c r="V39" s="14"/>
      <c r="W39" s="14"/>
      <c r="X39" s="14"/>
      <c r="Y39" s="14"/>
      <c r="Z39" s="14"/>
      <c r="AA39" s="14"/>
      <c r="AB39" s="14"/>
    </row>
    <row r="40" spans="1:28" x14ac:dyDescent="0.25">
      <c r="A40">
        <v>240</v>
      </c>
      <c r="B40">
        <v>1</v>
      </c>
      <c r="C40">
        <v>-4.3504931581947827E-2</v>
      </c>
      <c r="D40">
        <v>0.37462663025173082</v>
      </c>
      <c r="E40">
        <v>3.2258465542793622</v>
      </c>
      <c r="F40">
        <v>3.1705825000418399</v>
      </c>
      <c r="G40" s="1">
        <f t="shared" si="0"/>
        <v>3.1982145271606011</v>
      </c>
      <c r="H40" s="1">
        <f t="shared" si="1"/>
        <v>7.5158041388274128</v>
      </c>
      <c r="I40">
        <v>0</v>
      </c>
      <c r="J40">
        <v>0.9991569063802157</v>
      </c>
      <c r="L40" s="5"/>
      <c r="M40" s="5"/>
      <c r="N40" s="5"/>
      <c r="O40" s="5"/>
      <c r="P40" s="5"/>
      <c r="Q40" s="5"/>
      <c r="R40" s="5"/>
      <c r="S40" s="5"/>
      <c r="U40" s="14"/>
      <c r="V40" s="14"/>
      <c r="W40" s="14"/>
      <c r="X40" s="14"/>
      <c r="Y40" s="14"/>
      <c r="Z40" s="14"/>
      <c r="AA40" s="14"/>
      <c r="AB40" s="14"/>
    </row>
    <row r="41" spans="1:28" x14ac:dyDescent="0.25">
      <c r="A41">
        <v>245</v>
      </c>
      <c r="B41">
        <v>1</v>
      </c>
      <c r="C41">
        <v>8.0354633751344398E-2</v>
      </c>
      <c r="D41">
        <v>0.13570297590744171</v>
      </c>
      <c r="E41">
        <v>3.0320053355339942</v>
      </c>
      <c r="F41">
        <v>2.9690799613719299</v>
      </c>
      <c r="G41" s="1">
        <f t="shared" si="0"/>
        <v>3.0005426484529618</v>
      </c>
      <c r="H41" s="1">
        <f t="shared" si="1"/>
        <v>7.0512752238644607</v>
      </c>
      <c r="I41">
        <v>0</v>
      </c>
      <c r="J41">
        <v>0.99880308727802081</v>
      </c>
      <c r="L41" s="5"/>
      <c r="M41" s="5"/>
      <c r="N41" s="5"/>
      <c r="O41" s="5"/>
      <c r="P41" s="5"/>
      <c r="Q41" s="5"/>
      <c r="R41" s="5"/>
      <c r="S41" s="5"/>
      <c r="U41" s="14"/>
      <c r="V41" s="14"/>
      <c r="W41" s="14"/>
      <c r="X41" s="14"/>
      <c r="Y41" s="14"/>
      <c r="Z41" s="14"/>
      <c r="AA41" s="14"/>
      <c r="AB41" s="14"/>
    </row>
  </sheetData>
  <mergeCells count="1">
    <mergeCell ref="B4:J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811F-DE1E-4E49-A73C-179C190AF0B9}">
  <dimension ref="A1:AB41"/>
  <sheetViews>
    <sheetView workbookViewId="0">
      <selection activeCell="A2" sqref="A2"/>
    </sheetView>
  </sheetViews>
  <sheetFormatPr defaultRowHeight="15" x14ac:dyDescent="0.25"/>
  <cols>
    <col min="7" max="8" width="12.85546875" customWidth="1"/>
    <col min="21" max="22" width="18.85546875" bestFit="1" customWidth="1"/>
    <col min="23" max="26" width="19.5703125" bestFit="1" customWidth="1"/>
    <col min="27" max="27" width="18.85546875" bestFit="1" customWidth="1"/>
    <col min="28" max="28" width="19.5703125" bestFit="1" customWidth="1"/>
  </cols>
  <sheetData>
    <row r="1" spans="1:28" x14ac:dyDescent="0.25">
      <c r="A1" t="s">
        <v>55</v>
      </c>
    </row>
    <row r="2" spans="1:28" x14ac:dyDescent="0.25">
      <c r="A2" t="s">
        <v>57</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1</v>
      </c>
      <c r="C6">
        <v>8.8314835120355331E-2</v>
      </c>
      <c r="D6">
        <v>0.67568921989147257</v>
      </c>
      <c r="E6">
        <v>5.8448560871352102</v>
      </c>
      <c r="F6">
        <v>5.9233753593424314</v>
      </c>
      <c r="G6" s="1">
        <f>AVERAGE(E6:F6)</f>
        <v>5.8841157232388213</v>
      </c>
      <c r="H6" s="1">
        <f>2.35*G6</f>
        <v>13.827671949611231</v>
      </c>
      <c r="I6">
        <v>0</v>
      </c>
      <c r="J6">
        <v>0.7</v>
      </c>
      <c r="L6" s="5"/>
      <c r="M6" s="5"/>
      <c r="N6" s="5"/>
      <c r="O6" s="5"/>
      <c r="P6" s="5"/>
      <c r="Q6" s="5"/>
      <c r="R6" s="5"/>
      <c r="S6" s="5"/>
      <c r="U6" s="13"/>
      <c r="V6" s="13"/>
      <c r="W6" s="13"/>
      <c r="X6" s="13"/>
      <c r="Y6" s="13"/>
      <c r="Z6" s="13"/>
      <c r="AA6" s="13"/>
      <c r="AB6" s="13"/>
    </row>
    <row r="7" spans="1:28" x14ac:dyDescent="0.25">
      <c r="A7">
        <v>75</v>
      </c>
      <c r="B7">
        <v>1</v>
      </c>
      <c r="C7">
        <v>-5.9582620141259077E-2</v>
      </c>
      <c r="D7">
        <v>0.66483345979054931</v>
      </c>
      <c r="E7">
        <v>5.6036502233775352</v>
      </c>
      <c r="F7">
        <v>5.7370775614296763</v>
      </c>
      <c r="G7" s="1">
        <f t="shared" ref="G7:G41" si="0">AVERAGE(E7:F7)</f>
        <v>5.6703638924036053</v>
      </c>
      <c r="H7" s="1">
        <f t="shared" ref="H7:H41" si="1">2.35*G7</f>
        <v>13.325355147148473</v>
      </c>
      <c r="I7">
        <v>0</v>
      </c>
      <c r="J7">
        <v>0.90262252633806705</v>
      </c>
      <c r="L7" s="5"/>
      <c r="M7" s="5"/>
      <c r="N7" s="5"/>
      <c r="O7" s="5"/>
      <c r="P7" s="5"/>
      <c r="Q7" s="5"/>
      <c r="R7" s="5"/>
      <c r="S7" s="5"/>
      <c r="U7" s="13"/>
      <c r="V7" s="13"/>
      <c r="W7" s="13"/>
      <c r="X7" s="13"/>
      <c r="Y7" s="13"/>
      <c r="Z7" s="13"/>
      <c r="AA7" s="13"/>
      <c r="AB7" s="13"/>
    </row>
    <row r="8" spans="1:28" x14ac:dyDescent="0.25">
      <c r="A8">
        <v>80</v>
      </c>
      <c r="B8">
        <v>1</v>
      </c>
      <c r="C8">
        <v>0.42634650887891201</v>
      </c>
      <c r="D8">
        <v>0.38897678948148862</v>
      </c>
      <c r="E8">
        <v>5.4361371247572263</v>
      </c>
      <c r="F8">
        <v>5.537800818921891</v>
      </c>
      <c r="G8" s="1">
        <f t="shared" si="0"/>
        <v>5.4869689718395591</v>
      </c>
      <c r="H8" s="1">
        <f t="shared" si="1"/>
        <v>12.894377083822965</v>
      </c>
      <c r="I8">
        <v>0</v>
      </c>
      <c r="J8">
        <v>0.96028888901651943</v>
      </c>
      <c r="L8" s="5"/>
      <c r="M8" s="5"/>
      <c r="N8" s="5"/>
      <c r="O8" s="5"/>
      <c r="P8" s="5"/>
      <c r="Q8" s="5"/>
      <c r="R8" s="5"/>
      <c r="S8" s="5"/>
      <c r="U8" s="13"/>
      <c r="V8" s="13"/>
      <c r="W8" s="13"/>
      <c r="X8" s="13"/>
      <c r="Y8" s="13"/>
      <c r="Z8" s="13"/>
      <c r="AA8" s="13"/>
      <c r="AB8" s="13"/>
    </row>
    <row r="9" spans="1:28" x14ac:dyDescent="0.25">
      <c r="A9">
        <v>85</v>
      </c>
      <c r="B9">
        <v>1</v>
      </c>
      <c r="C9">
        <v>0.16757292484103509</v>
      </c>
      <c r="D9">
        <v>0.37931208190721682</v>
      </c>
      <c r="E9">
        <v>5.306812969017594</v>
      </c>
      <c r="F9">
        <v>5.3696248986643731</v>
      </c>
      <c r="G9" s="1">
        <f t="shared" si="0"/>
        <v>5.3382189338409836</v>
      </c>
      <c r="H9" s="1">
        <f t="shared" si="1"/>
        <v>12.544814494526312</v>
      </c>
      <c r="I9">
        <v>0</v>
      </c>
      <c r="J9">
        <v>0.98894167719730319</v>
      </c>
      <c r="L9" s="5"/>
      <c r="M9" s="5"/>
      <c r="N9" s="5"/>
      <c r="O9" s="5"/>
      <c r="P9" s="5"/>
      <c r="Q9" s="5"/>
      <c r="R9" s="5"/>
      <c r="S9" s="5"/>
      <c r="U9" s="13"/>
      <c r="V9" s="13"/>
      <c r="W9" s="13"/>
      <c r="X9" s="13"/>
      <c r="Y9" s="13"/>
      <c r="Z9" s="13"/>
      <c r="AA9" s="13"/>
      <c r="AB9" s="13"/>
    </row>
    <row r="10" spans="1:28" x14ac:dyDescent="0.25">
      <c r="A10">
        <v>90</v>
      </c>
      <c r="B10">
        <v>1</v>
      </c>
      <c r="C10">
        <v>6.7476471699234625E-2</v>
      </c>
      <c r="D10">
        <v>0.1254019596853953</v>
      </c>
      <c r="E10">
        <v>5.0799372724184808</v>
      </c>
      <c r="F10">
        <v>5.0961526912463233</v>
      </c>
      <c r="G10" s="1">
        <f t="shared" si="0"/>
        <v>5.0880449818324021</v>
      </c>
      <c r="H10" s="1">
        <f t="shared" si="1"/>
        <v>11.956905707306145</v>
      </c>
      <c r="I10">
        <v>0</v>
      </c>
      <c r="J10">
        <v>0.88102316252843327</v>
      </c>
      <c r="L10" s="5"/>
      <c r="M10" s="5"/>
      <c r="N10" s="5"/>
      <c r="O10" s="5"/>
      <c r="P10" s="5"/>
      <c r="Q10" s="5"/>
      <c r="R10" s="5"/>
      <c r="S10" s="5"/>
      <c r="U10" s="13"/>
      <c r="V10" s="13"/>
      <c r="W10" s="13"/>
      <c r="X10" s="13"/>
      <c r="Y10" s="13"/>
      <c r="Z10" s="13"/>
      <c r="AA10" s="13"/>
      <c r="AB10" s="13"/>
    </row>
    <row r="11" spans="1:28" x14ac:dyDescent="0.25">
      <c r="A11">
        <v>95</v>
      </c>
      <c r="B11">
        <v>1</v>
      </c>
      <c r="C11">
        <v>0.26614164620299169</v>
      </c>
      <c r="D11">
        <v>0.10613524077803629</v>
      </c>
      <c r="E11">
        <v>5.0066972484587069</v>
      </c>
      <c r="F11">
        <v>4.9912320961969128</v>
      </c>
      <c r="G11" s="1">
        <f t="shared" si="0"/>
        <v>4.9989646723278103</v>
      </c>
      <c r="H11" s="1">
        <f t="shared" si="1"/>
        <v>11.747566979970355</v>
      </c>
      <c r="I11">
        <v>0</v>
      </c>
      <c r="J11">
        <v>0.70000000000000007</v>
      </c>
      <c r="L11" s="5"/>
      <c r="M11" s="5"/>
      <c r="N11" s="5"/>
      <c r="O11" s="5"/>
      <c r="P11" s="5"/>
      <c r="Q11" s="5"/>
      <c r="R11" s="5"/>
      <c r="S11" s="5"/>
      <c r="U11" s="13"/>
      <c r="V11" s="13"/>
      <c r="W11" s="13"/>
      <c r="X11" s="13"/>
      <c r="Y11" s="13"/>
      <c r="Z11" s="13"/>
      <c r="AA11" s="13"/>
      <c r="AB11" s="13"/>
    </row>
    <row r="12" spans="1:28" x14ac:dyDescent="0.25">
      <c r="A12">
        <v>100</v>
      </c>
      <c r="B12">
        <v>1</v>
      </c>
      <c r="C12">
        <v>0.26329533642205261</v>
      </c>
      <c r="D12">
        <v>0.36104183900090991</v>
      </c>
      <c r="E12">
        <v>4.8664678313301142</v>
      </c>
      <c r="F12">
        <v>4.8322710454427407</v>
      </c>
      <c r="G12" s="1">
        <f t="shared" si="0"/>
        <v>4.849369438386427</v>
      </c>
      <c r="H12" s="1">
        <f t="shared" si="1"/>
        <v>11.396018180208104</v>
      </c>
      <c r="I12">
        <v>0</v>
      </c>
      <c r="J12">
        <v>0.9911998652024645</v>
      </c>
      <c r="L12" s="5"/>
      <c r="M12" s="5"/>
      <c r="N12" s="5"/>
      <c r="O12" s="5"/>
      <c r="P12" s="5"/>
      <c r="Q12" s="5"/>
      <c r="R12" s="5"/>
      <c r="S12" s="5"/>
      <c r="U12" s="13"/>
      <c r="V12" s="13"/>
      <c r="W12" s="13"/>
      <c r="X12" s="13"/>
      <c r="Y12" s="13"/>
      <c r="Z12" s="13"/>
      <c r="AA12" s="13"/>
      <c r="AB12" s="13"/>
    </row>
    <row r="13" spans="1:28" x14ac:dyDescent="0.25">
      <c r="A13">
        <v>105</v>
      </c>
      <c r="B13">
        <v>1</v>
      </c>
      <c r="C13">
        <v>0.45902610234278368</v>
      </c>
      <c r="D13">
        <v>0.39023015050352339</v>
      </c>
      <c r="E13">
        <v>4.7237199874001572</v>
      </c>
      <c r="F13">
        <v>4.6765415349366082</v>
      </c>
      <c r="G13" s="1">
        <f t="shared" si="0"/>
        <v>4.7001307611683831</v>
      </c>
      <c r="H13" s="1">
        <f t="shared" si="1"/>
        <v>11.0453072887457</v>
      </c>
      <c r="I13">
        <v>0</v>
      </c>
      <c r="J13">
        <v>0.90548808680527781</v>
      </c>
      <c r="L13" s="5"/>
      <c r="M13" s="5"/>
      <c r="N13" s="5"/>
      <c r="O13" s="5"/>
      <c r="P13" s="5"/>
      <c r="Q13" s="5"/>
      <c r="R13" s="5"/>
      <c r="S13" s="5"/>
      <c r="U13" s="13"/>
      <c r="V13" s="13"/>
      <c r="W13" s="13"/>
      <c r="X13" s="13"/>
      <c r="Y13" s="13"/>
      <c r="Z13" s="13"/>
      <c r="AA13" s="13"/>
      <c r="AB13" s="13"/>
    </row>
    <row r="14" spans="1:28" x14ac:dyDescent="0.25">
      <c r="A14">
        <v>110</v>
      </c>
      <c r="B14">
        <v>1</v>
      </c>
      <c r="C14">
        <v>0.12489436188366169</v>
      </c>
      <c r="D14">
        <v>0.40193390123140149</v>
      </c>
      <c r="E14">
        <v>4.5847163908753101</v>
      </c>
      <c r="F14">
        <v>4.5407141574218191</v>
      </c>
      <c r="G14" s="1">
        <f t="shared" si="0"/>
        <v>4.5627152741485641</v>
      </c>
      <c r="H14" s="1">
        <f t="shared" si="1"/>
        <v>10.722380894249126</v>
      </c>
      <c r="I14">
        <v>0</v>
      </c>
      <c r="J14">
        <v>0.89119419798459332</v>
      </c>
      <c r="L14" s="5"/>
      <c r="M14" s="5"/>
      <c r="N14" s="5"/>
      <c r="O14" s="5"/>
      <c r="P14" s="5"/>
      <c r="Q14" s="5"/>
      <c r="R14" s="5"/>
      <c r="S14" s="5"/>
      <c r="U14" s="13"/>
      <c r="V14" s="13"/>
      <c r="W14" s="13"/>
      <c r="X14" s="13"/>
      <c r="Y14" s="13"/>
      <c r="Z14" s="13"/>
      <c r="AA14" s="13"/>
      <c r="AB14" s="13"/>
    </row>
    <row r="15" spans="1:28" x14ac:dyDescent="0.25">
      <c r="A15">
        <v>115</v>
      </c>
      <c r="B15">
        <v>1</v>
      </c>
      <c r="C15">
        <v>0.2912679157973691</v>
      </c>
      <c r="D15">
        <v>0.33159179126207222</v>
      </c>
      <c r="E15">
        <v>4.4991933821969052</v>
      </c>
      <c r="F15">
        <v>4.4626078913525093</v>
      </c>
      <c r="G15" s="1">
        <f t="shared" si="0"/>
        <v>4.4809006367747077</v>
      </c>
      <c r="H15" s="1">
        <f t="shared" si="1"/>
        <v>10.530116496420563</v>
      </c>
      <c r="I15">
        <v>0</v>
      </c>
      <c r="J15">
        <v>0.92968277631708718</v>
      </c>
      <c r="L15" s="5"/>
      <c r="M15" s="5"/>
      <c r="N15" s="5"/>
      <c r="O15" s="5"/>
      <c r="P15" s="5"/>
      <c r="Q15" s="5"/>
      <c r="R15" s="5"/>
      <c r="S15" s="5"/>
      <c r="U15" s="13"/>
      <c r="V15" s="13"/>
      <c r="W15" s="13"/>
      <c r="X15" s="13"/>
      <c r="Y15" s="13"/>
      <c r="Z15" s="13"/>
      <c r="AA15" s="13"/>
      <c r="AB15" s="13"/>
    </row>
    <row r="16" spans="1:28" x14ac:dyDescent="0.25">
      <c r="A16">
        <v>120</v>
      </c>
      <c r="B16">
        <v>1</v>
      </c>
      <c r="C16">
        <v>0.1748633564566355</v>
      </c>
      <c r="D16">
        <v>0.35703541130023758</v>
      </c>
      <c r="E16">
        <v>4.3573393608478774</v>
      </c>
      <c r="F16">
        <v>4.3245775994674851</v>
      </c>
      <c r="G16" s="1">
        <f t="shared" si="0"/>
        <v>4.3409584801576813</v>
      </c>
      <c r="H16" s="1">
        <f t="shared" si="1"/>
        <v>10.201252428370552</v>
      </c>
      <c r="I16">
        <v>0</v>
      </c>
      <c r="J16">
        <v>1</v>
      </c>
      <c r="L16" s="5"/>
      <c r="M16" s="5"/>
      <c r="N16" s="5"/>
      <c r="O16" s="5"/>
      <c r="P16" s="5"/>
      <c r="Q16" s="5"/>
      <c r="R16" s="5"/>
      <c r="S16" s="5"/>
      <c r="U16" s="13"/>
      <c r="V16" s="13"/>
      <c r="W16" s="13"/>
      <c r="X16" s="13"/>
      <c r="Y16" s="13"/>
      <c r="Z16" s="13"/>
      <c r="AA16" s="13"/>
      <c r="AB16" s="13"/>
    </row>
    <row r="17" spans="1:28" x14ac:dyDescent="0.25">
      <c r="A17">
        <v>125</v>
      </c>
      <c r="B17">
        <v>1</v>
      </c>
      <c r="C17">
        <v>9.3941220887120452E-2</v>
      </c>
      <c r="D17">
        <v>0.31461906243385462</v>
      </c>
      <c r="E17">
        <v>4.3309420946770087</v>
      </c>
      <c r="F17">
        <v>4.3063745173413617</v>
      </c>
      <c r="G17" s="1">
        <f t="shared" si="0"/>
        <v>4.3186583060091852</v>
      </c>
      <c r="H17" s="1">
        <f t="shared" si="1"/>
        <v>10.148847019121586</v>
      </c>
      <c r="I17">
        <v>0</v>
      </c>
      <c r="J17">
        <v>0.9988087042917102</v>
      </c>
      <c r="L17" s="5"/>
      <c r="M17" s="5"/>
      <c r="N17" s="5"/>
      <c r="O17" s="5"/>
      <c r="P17" s="5"/>
      <c r="Q17" s="5"/>
      <c r="R17" s="5"/>
      <c r="S17" s="5"/>
      <c r="U17" s="13"/>
      <c r="V17" s="13"/>
      <c r="W17" s="13"/>
      <c r="X17" s="13"/>
      <c r="Y17" s="13"/>
      <c r="Z17" s="13"/>
      <c r="AA17" s="13"/>
      <c r="AB17" s="13"/>
    </row>
    <row r="18" spans="1:28" x14ac:dyDescent="0.25">
      <c r="A18">
        <v>130</v>
      </c>
      <c r="B18">
        <v>1</v>
      </c>
      <c r="C18">
        <v>3.9718401061829577E-2</v>
      </c>
      <c r="D18">
        <v>0.29262839160234122</v>
      </c>
      <c r="E18">
        <v>4.239918951249745</v>
      </c>
      <c r="F18">
        <v>4.2098923763181597</v>
      </c>
      <c r="G18" s="1">
        <f t="shared" si="0"/>
        <v>4.2249056637839519</v>
      </c>
      <c r="H18" s="1">
        <f t="shared" si="1"/>
        <v>9.9285283098922879</v>
      </c>
      <c r="I18">
        <v>0</v>
      </c>
      <c r="J18">
        <v>0.99867435347373179</v>
      </c>
      <c r="L18" s="5"/>
      <c r="M18" s="5"/>
      <c r="N18" s="5"/>
      <c r="O18" s="5"/>
      <c r="P18" s="5"/>
      <c r="Q18" s="5"/>
      <c r="R18" s="5"/>
      <c r="S18" s="5"/>
      <c r="U18" s="13"/>
      <c r="V18" s="13"/>
      <c r="W18" s="13"/>
      <c r="X18" s="13"/>
      <c r="Y18" s="13"/>
      <c r="Z18" s="13"/>
      <c r="AA18" s="13"/>
      <c r="AB18" s="13"/>
    </row>
    <row r="19" spans="1:28" x14ac:dyDescent="0.25">
      <c r="A19">
        <v>135</v>
      </c>
      <c r="B19">
        <v>1</v>
      </c>
      <c r="C19">
        <v>-2.2994006025543849E-2</v>
      </c>
      <c r="D19">
        <v>0.27141298843585482</v>
      </c>
      <c r="E19">
        <v>4.1602104544261884</v>
      </c>
      <c r="F19">
        <v>4.129977050008435</v>
      </c>
      <c r="G19" s="1">
        <f t="shared" si="0"/>
        <v>4.1450937522173117</v>
      </c>
      <c r="H19" s="1">
        <f t="shared" si="1"/>
        <v>9.7409703177106834</v>
      </c>
      <c r="I19">
        <v>0</v>
      </c>
      <c r="J19">
        <v>0.91001763921994328</v>
      </c>
      <c r="L19" s="5"/>
      <c r="M19" s="5"/>
      <c r="N19" s="5"/>
      <c r="O19" s="5"/>
      <c r="P19" s="5"/>
      <c r="Q19" s="5"/>
      <c r="R19" s="5"/>
      <c r="S19" s="5"/>
      <c r="U19" s="13"/>
      <c r="V19" s="13"/>
      <c r="W19" s="13"/>
      <c r="X19" s="13"/>
      <c r="Y19" s="13"/>
      <c r="Z19" s="13"/>
      <c r="AA19" s="13"/>
      <c r="AB19" s="13"/>
    </row>
    <row r="20" spans="1:28" x14ac:dyDescent="0.25">
      <c r="A20">
        <v>140</v>
      </c>
      <c r="B20">
        <v>1</v>
      </c>
      <c r="C20">
        <v>-0.1244174863214717</v>
      </c>
      <c r="D20">
        <v>-1.4751279186580131E-2</v>
      </c>
      <c r="E20">
        <v>4.1226839504152224</v>
      </c>
      <c r="F20">
        <v>4.0921589654319837</v>
      </c>
      <c r="G20" s="1">
        <f t="shared" si="0"/>
        <v>4.1074214579236035</v>
      </c>
      <c r="H20" s="1">
        <f t="shared" si="1"/>
        <v>9.652440426120469</v>
      </c>
      <c r="I20">
        <v>0</v>
      </c>
      <c r="J20">
        <v>0.99934702424540356</v>
      </c>
      <c r="L20" s="5"/>
      <c r="M20" s="5"/>
      <c r="N20" s="5"/>
      <c r="O20" s="5"/>
      <c r="P20" s="5"/>
      <c r="Q20" s="5"/>
      <c r="R20" s="5"/>
      <c r="S20" s="5"/>
      <c r="U20" s="13"/>
      <c r="V20" s="13"/>
      <c r="W20" s="13"/>
      <c r="X20" s="13"/>
      <c r="Y20" s="13"/>
      <c r="Z20" s="13"/>
      <c r="AA20" s="13"/>
      <c r="AB20" s="13"/>
    </row>
    <row r="21" spans="1:28" x14ac:dyDescent="0.25">
      <c r="A21">
        <v>145</v>
      </c>
      <c r="B21">
        <v>0.99999999999975309</v>
      </c>
      <c r="C21">
        <v>-2.0403769100314901E-2</v>
      </c>
      <c r="D21">
        <v>0.26211773289300772</v>
      </c>
      <c r="E21">
        <v>4.0614210450103778</v>
      </c>
      <c r="F21">
        <v>4.0281525076107387</v>
      </c>
      <c r="G21" s="1">
        <f t="shared" si="0"/>
        <v>4.0447867763105583</v>
      </c>
      <c r="H21" s="1">
        <f t="shared" si="1"/>
        <v>9.5052489243298126</v>
      </c>
      <c r="I21">
        <v>0</v>
      </c>
      <c r="J21">
        <v>0.99998149157303962</v>
      </c>
      <c r="L21" s="5"/>
      <c r="M21" s="5"/>
      <c r="N21" s="5"/>
      <c r="O21" s="5"/>
      <c r="P21" s="5"/>
      <c r="Q21" s="5"/>
      <c r="R21" s="5"/>
      <c r="S21" s="5"/>
      <c r="U21" s="13"/>
      <c r="V21" s="13"/>
      <c r="W21" s="13"/>
      <c r="X21" s="13"/>
      <c r="Y21" s="13"/>
      <c r="Z21" s="13"/>
      <c r="AA21" s="13"/>
      <c r="AB21" s="13"/>
    </row>
    <row r="22" spans="1:28" x14ac:dyDescent="0.25">
      <c r="A22">
        <v>150</v>
      </c>
      <c r="B22">
        <v>0.99999999999972411</v>
      </c>
      <c r="C22">
        <v>0.1217212767881467</v>
      </c>
      <c r="D22">
        <v>0.2124523801255839</v>
      </c>
      <c r="E22">
        <v>3.9964376700577522</v>
      </c>
      <c r="F22">
        <v>3.9568832496417841</v>
      </c>
      <c r="G22" s="1">
        <f t="shared" si="0"/>
        <v>3.9766604598497679</v>
      </c>
      <c r="H22" s="1">
        <f t="shared" si="1"/>
        <v>9.3451520806469546</v>
      </c>
      <c r="I22">
        <v>0</v>
      </c>
      <c r="J22">
        <v>1</v>
      </c>
      <c r="L22" s="5"/>
      <c r="M22" s="5"/>
      <c r="N22" s="5"/>
      <c r="O22" s="5"/>
      <c r="P22" s="5"/>
      <c r="Q22" s="5"/>
      <c r="R22" s="5"/>
      <c r="S22" s="5"/>
      <c r="U22" s="13"/>
      <c r="V22" s="13"/>
      <c r="W22" s="13"/>
      <c r="X22" s="13"/>
      <c r="Y22" s="13"/>
      <c r="Z22" s="13"/>
      <c r="AA22" s="13"/>
      <c r="AB22" s="13"/>
    </row>
    <row r="23" spans="1:28" x14ac:dyDescent="0.25">
      <c r="A23">
        <v>155</v>
      </c>
      <c r="B23">
        <v>1</v>
      </c>
      <c r="C23">
        <v>0.18070470744817541</v>
      </c>
      <c r="D23">
        <v>0.21894618244469979</v>
      </c>
      <c r="E23">
        <v>3.9827770611636439</v>
      </c>
      <c r="F23">
        <v>3.9041994149134669</v>
      </c>
      <c r="G23" s="1">
        <f t="shared" si="0"/>
        <v>3.9434882380385554</v>
      </c>
      <c r="H23" s="1">
        <f t="shared" si="1"/>
        <v>9.2671973593906056</v>
      </c>
      <c r="I23">
        <v>0</v>
      </c>
      <c r="J23">
        <v>0.9999999999993755</v>
      </c>
      <c r="L23" s="5"/>
      <c r="M23" s="5"/>
      <c r="N23" s="5"/>
      <c r="O23" s="5"/>
      <c r="P23" s="5"/>
      <c r="Q23" s="5"/>
      <c r="R23" s="5"/>
      <c r="S23" s="5"/>
      <c r="U23" s="13"/>
      <c r="V23" s="13"/>
      <c r="W23" s="13"/>
      <c r="X23" s="13"/>
      <c r="Y23" s="13"/>
      <c r="Z23" s="13"/>
      <c r="AA23" s="13"/>
      <c r="AB23" s="13"/>
    </row>
    <row r="24" spans="1:28" x14ac:dyDescent="0.25">
      <c r="A24">
        <v>160</v>
      </c>
      <c r="B24">
        <v>1</v>
      </c>
      <c r="C24">
        <v>-0.1522203433382501</v>
      </c>
      <c r="D24">
        <v>-6.1512993372820228E-2</v>
      </c>
      <c r="E24">
        <v>3.9576820074729611</v>
      </c>
      <c r="F24">
        <v>3.854820936872454</v>
      </c>
      <c r="G24" s="1">
        <f t="shared" si="0"/>
        <v>3.9062514721727073</v>
      </c>
      <c r="H24" s="1">
        <f t="shared" si="1"/>
        <v>9.1796909596058622</v>
      </c>
      <c r="I24">
        <v>0</v>
      </c>
      <c r="J24">
        <v>1</v>
      </c>
      <c r="L24" s="5"/>
      <c r="M24" s="5"/>
      <c r="N24" s="5"/>
      <c r="O24" s="5"/>
      <c r="P24" s="5"/>
      <c r="Q24" s="5"/>
      <c r="R24" s="5"/>
      <c r="S24" s="5"/>
      <c r="U24" s="13"/>
      <c r="V24" s="13"/>
      <c r="W24" s="13"/>
      <c r="X24" s="13"/>
      <c r="Y24" s="13"/>
      <c r="Z24" s="13"/>
      <c r="AA24" s="13"/>
      <c r="AB24" s="13"/>
    </row>
    <row r="25" spans="1:28" x14ac:dyDescent="0.25">
      <c r="A25">
        <v>165</v>
      </c>
      <c r="B25">
        <v>1</v>
      </c>
      <c r="C25">
        <v>-4.6468334344713223E-2</v>
      </c>
      <c r="D25">
        <v>0.21304540067133501</v>
      </c>
      <c r="E25">
        <v>3.9233063507254191</v>
      </c>
      <c r="F25">
        <v>3.8026146267091301</v>
      </c>
      <c r="G25" s="1">
        <f t="shared" si="0"/>
        <v>3.8629604887172748</v>
      </c>
      <c r="H25" s="1">
        <f t="shared" si="1"/>
        <v>9.0779571484855968</v>
      </c>
      <c r="I25">
        <v>0</v>
      </c>
      <c r="J25">
        <v>1</v>
      </c>
      <c r="L25" s="5"/>
      <c r="M25" s="5"/>
      <c r="N25" s="5"/>
      <c r="O25" s="5"/>
      <c r="P25" s="5"/>
      <c r="Q25" s="5"/>
      <c r="R25" s="5"/>
      <c r="S25" s="5"/>
      <c r="U25" s="13"/>
      <c r="V25" s="13"/>
      <c r="W25" s="13"/>
      <c r="X25" s="13"/>
      <c r="Y25" s="13"/>
      <c r="Z25" s="13"/>
      <c r="AA25" s="13"/>
      <c r="AB25" s="13"/>
    </row>
    <row r="26" spans="1:28" x14ac:dyDescent="0.25">
      <c r="A26">
        <v>170</v>
      </c>
      <c r="B26">
        <v>1</v>
      </c>
      <c r="C26">
        <v>-4.6513025226912648E-2</v>
      </c>
      <c r="D26">
        <v>0.38594022706394882</v>
      </c>
      <c r="E26">
        <v>3.8517114267336621</v>
      </c>
      <c r="F26">
        <v>3.7249854156350111</v>
      </c>
      <c r="G26" s="1">
        <f t="shared" si="0"/>
        <v>3.7883484211843363</v>
      </c>
      <c r="H26" s="1">
        <f t="shared" si="1"/>
        <v>8.9026187897831903</v>
      </c>
      <c r="I26">
        <v>0</v>
      </c>
      <c r="J26">
        <v>0.9999999961342666</v>
      </c>
      <c r="L26" s="5"/>
      <c r="M26" s="5"/>
      <c r="N26" s="5"/>
      <c r="O26" s="5"/>
      <c r="P26" s="5"/>
      <c r="Q26" s="5"/>
      <c r="R26" s="5"/>
      <c r="S26" s="5"/>
      <c r="U26" s="13"/>
      <c r="V26" s="13"/>
      <c r="W26" s="13"/>
      <c r="X26" s="13"/>
      <c r="Y26" s="13"/>
      <c r="Z26" s="13"/>
      <c r="AA26" s="13"/>
      <c r="AB26" s="13"/>
    </row>
    <row r="27" spans="1:28" x14ac:dyDescent="0.25">
      <c r="A27">
        <v>175</v>
      </c>
      <c r="B27">
        <v>1</v>
      </c>
      <c r="C27">
        <v>0.1457110239267948</v>
      </c>
      <c r="D27">
        <v>0.2078734857065439</v>
      </c>
      <c r="E27">
        <v>3.8061054693986951</v>
      </c>
      <c r="F27">
        <v>3.666320566829409</v>
      </c>
      <c r="G27" s="1">
        <f t="shared" si="0"/>
        <v>3.7362130181140518</v>
      </c>
      <c r="H27" s="1">
        <f t="shared" si="1"/>
        <v>8.7801005925680222</v>
      </c>
      <c r="I27">
        <v>0</v>
      </c>
      <c r="J27">
        <v>0.99999999999978306</v>
      </c>
      <c r="L27" s="5"/>
      <c r="M27" s="5"/>
      <c r="N27" s="5"/>
      <c r="O27" s="5"/>
      <c r="P27" s="5"/>
      <c r="Q27" s="5"/>
      <c r="R27" s="5"/>
      <c r="S27" s="5"/>
      <c r="U27" s="13"/>
      <c r="V27" s="13"/>
      <c r="W27" s="13"/>
      <c r="X27" s="13"/>
      <c r="Y27" s="13"/>
      <c r="Z27" s="13"/>
      <c r="AA27" s="13"/>
      <c r="AB27" s="13"/>
    </row>
    <row r="28" spans="1:28" x14ac:dyDescent="0.25">
      <c r="A28">
        <v>180</v>
      </c>
      <c r="B28">
        <v>1</v>
      </c>
      <c r="C28">
        <v>0.1074279920768674</v>
      </c>
      <c r="D28">
        <v>0.17941027297688561</v>
      </c>
      <c r="E28">
        <v>3.7680558697061608</v>
      </c>
      <c r="F28">
        <v>3.6242410098360649</v>
      </c>
      <c r="G28" s="1">
        <f t="shared" si="0"/>
        <v>3.6961484397711128</v>
      </c>
      <c r="H28" s="1">
        <f t="shared" si="1"/>
        <v>8.6859488334621151</v>
      </c>
      <c r="I28">
        <v>0</v>
      </c>
      <c r="J28">
        <v>1</v>
      </c>
      <c r="L28" s="5"/>
      <c r="M28" s="5"/>
      <c r="N28" s="5"/>
      <c r="O28" s="5"/>
      <c r="P28" s="5"/>
      <c r="Q28" s="5"/>
      <c r="R28" s="5"/>
      <c r="S28" s="5"/>
      <c r="U28" s="13"/>
      <c r="V28" s="13"/>
      <c r="W28" s="13"/>
      <c r="X28" s="13"/>
      <c r="Y28" s="13"/>
      <c r="Z28" s="13"/>
      <c r="AA28" s="13"/>
      <c r="AB28" s="13"/>
    </row>
    <row r="29" spans="1:28" x14ac:dyDescent="0.25">
      <c r="A29">
        <v>185</v>
      </c>
      <c r="B29">
        <v>1</v>
      </c>
      <c r="C29">
        <v>-1.6344619345558541E-2</v>
      </c>
      <c r="D29">
        <v>0.18818038267186599</v>
      </c>
      <c r="E29">
        <v>3.7112675949295482</v>
      </c>
      <c r="F29">
        <v>3.5829424360410909</v>
      </c>
      <c r="G29" s="1">
        <f t="shared" si="0"/>
        <v>3.6471050154853195</v>
      </c>
      <c r="H29" s="1">
        <f t="shared" si="1"/>
        <v>8.570696786390501</v>
      </c>
      <c r="I29">
        <v>0</v>
      </c>
      <c r="J29">
        <v>1</v>
      </c>
      <c r="L29" s="5"/>
      <c r="M29" s="5"/>
      <c r="N29" s="5"/>
      <c r="O29" s="5"/>
      <c r="P29" s="5"/>
      <c r="Q29" s="5"/>
      <c r="R29" s="5"/>
      <c r="S29" s="5"/>
      <c r="U29" s="13"/>
      <c r="V29" s="13"/>
      <c r="W29" s="13"/>
      <c r="X29" s="13"/>
      <c r="Y29" s="13"/>
      <c r="Z29" s="13"/>
      <c r="AA29" s="13"/>
      <c r="AB29" s="13"/>
    </row>
    <row r="30" spans="1:28" x14ac:dyDescent="0.25">
      <c r="A30">
        <v>190</v>
      </c>
      <c r="B30">
        <v>1</v>
      </c>
      <c r="C30">
        <v>0.1063007579780743</v>
      </c>
      <c r="D30">
        <v>0.47503771742266271</v>
      </c>
      <c r="E30">
        <v>3.6289601208033262</v>
      </c>
      <c r="F30">
        <v>3.4988737901633229</v>
      </c>
      <c r="G30" s="1">
        <f t="shared" si="0"/>
        <v>3.5639169554833243</v>
      </c>
      <c r="H30" s="1">
        <f t="shared" si="1"/>
        <v>8.375204845385813</v>
      </c>
      <c r="I30">
        <v>0</v>
      </c>
      <c r="J30">
        <v>0.99999999999440181</v>
      </c>
      <c r="L30" s="5"/>
      <c r="M30" s="5"/>
      <c r="N30" s="5"/>
      <c r="O30" s="5"/>
      <c r="P30" s="5"/>
      <c r="Q30" s="5"/>
      <c r="R30" s="5"/>
      <c r="S30" s="5"/>
      <c r="U30" s="13"/>
      <c r="V30" s="13"/>
      <c r="W30" s="13"/>
      <c r="X30" s="13"/>
      <c r="Y30" s="13"/>
      <c r="Z30" s="13"/>
      <c r="AA30" s="13"/>
      <c r="AB30" s="13"/>
    </row>
    <row r="31" spans="1:28" x14ac:dyDescent="0.25">
      <c r="A31">
        <v>195</v>
      </c>
      <c r="B31">
        <v>1</v>
      </c>
      <c r="C31">
        <v>-9.8444723349305124E-2</v>
      </c>
      <c r="D31">
        <v>0.14032096557877541</v>
      </c>
      <c r="E31">
        <v>3.607381771508714</v>
      </c>
      <c r="F31">
        <v>3.4891996839839452</v>
      </c>
      <c r="G31" s="1">
        <f t="shared" si="0"/>
        <v>3.5482907277463296</v>
      </c>
      <c r="H31" s="1">
        <f t="shared" si="1"/>
        <v>8.3384832102038757</v>
      </c>
      <c r="I31">
        <v>0</v>
      </c>
      <c r="J31">
        <v>0.99999999999903999</v>
      </c>
      <c r="L31" s="5"/>
      <c r="M31" s="5"/>
      <c r="N31" s="5"/>
      <c r="O31" s="5"/>
      <c r="P31" s="5"/>
      <c r="Q31" s="5"/>
      <c r="R31" s="5"/>
      <c r="S31" s="5"/>
      <c r="U31" s="13"/>
      <c r="V31" s="13"/>
      <c r="W31" s="13"/>
      <c r="X31" s="13"/>
      <c r="Y31" s="13"/>
      <c r="Z31" s="13"/>
      <c r="AA31" s="13"/>
      <c r="AB31" s="13"/>
    </row>
    <row r="32" spans="1:28" x14ac:dyDescent="0.25">
      <c r="A32">
        <v>200</v>
      </c>
      <c r="B32">
        <v>1</v>
      </c>
      <c r="C32">
        <v>0.1112745546602435</v>
      </c>
      <c r="D32">
        <v>0.4276301876562556</v>
      </c>
      <c r="E32">
        <v>3.5345754253347299</v>
      </c>
      <c r="F32">
        <v>3.430195654808843</v>
      </c>
      <c r="G32" s="1">
        <f t="shared" si="0"/>
        <v>3.4823855400717862</v>
      </c>
      <c r="H32" s="1">
        <f t="shared" si="1"/>
        <v>8.1836060191686979</v>
      </c>
      <c r="I32">
        <v>0</v>
      </c>
      <c r="J32">
        <v>0.9999999999990532</v>
      </c>
      <c r="L32" s="5"/>
      <c r="M32" s="5"/>
      <c r="N32" s="5"/>
      <c r="O32" s="5"/>
      <c r="P32" s="5"/>
      <c r="Q32" s="5"/>
      <c r="R32" s="5"/>
      <c r="S32" s="5"/>
      <c r="U32" s="13"/>
      <c r="V32" s="13"/>
      <c r="W32" s="13"/>
      <c r="X32" s="13"/>
      <c r="Y32" s="13"/>
      <c r="Z32" s="13"/>
      <c r="AA32" s="13"/>
      <c r="AB32" s="13"/>
    </row>
    <row r="33" spans="1:28" x14ac:dyDescent="0.25">
      <c r="A33">
        <v>205</v>
      </c>
      <c r="B33">
        <v>1</v>
      </c>
      <c r="C33">
        <v>-7.3973430208844435E-2</v>
      </c>
      <c r="D33">
        <v>3.3621052097515827E-2</v>
      </c>
      <c r="E33">
        <v>3.5201330024204469</v>
      </c>
      <c r="F33">
        <v>3.443119941664333</v>
      </c>
      <c r="G33" s="1">
        <f t="shared" si="0"/>
        <v>3.48162647204239</v>
      </c>
      <c r="H33" s="1">
        <f t="shared" si="1"/>
        <v>8.1818222092996162</v>
      </c>
      <c r="I33">
        <v>0</v>
      </c>
      <c r="J33">
        <v>0.99999999999831424</v>
      </c>
      <c r="L33" s="5"/>
      <c r="M33" s="5"/>
      <c r="N33" s="5"/>
      <c r="O33" s="5"/>
      <c r="P33" s="5"/>
      <c r="Q33" s="5"/>
      <c r="R33" s="5"/>
      <c r="S33" s="5"/>
      <c r="U33" s="13"/>
      <c r="V33" s="13"/>
      <c r="W33" s="13"/>
      <c r="X33" s="13"/>
      <c r="Y33" s="13"/>
      <c r="Z33" s="13"/>
      <c r="AA33" s="13"/>
      <c r="AB33" s="13"/>
    </row>
    <row r="34" spans="1:28" x14ac:dyDescent="0.25">
      <c r="A34">
        <v>210</v>
      </c>
      <c r="B34">
        <v>1</v>
      </c>
      <c r="C34">
        <v>0.19275652533542631</v>
      </c>
      <c r="D34">
        <v>0.4115712230409827</v>
      </c>
      <c r="E34">
        <v>3.4383249031267851</v>
      </c>
      <c r="F34">
        <v>3.395953276502814</v>
      </c>
      <c r="G34" s="1">
        <f t="shared" si="0"/>
        <v>3.4171390898147997</v>
      </c>
      <c r="H34" s="1">
        <f t="shared" si="1"/>
        <v>8.0302768610647792</v>
      </c>
      <c r="I34">
        <v>0</v>
      </c>
      <c r="J34">
        <v>0.99999999891687963</v>
      </c>
      <c r="L34" s="5"/>
      <c r="M34" s="5"/>
      <c r="N34" s="5"/>
      <c r="O34" s="5"/>
      <c r="P34" s="5"/>
      <c r="Q34" s="5"/>
      <c r="R34" s="5"/>
      <c r="S34" s="5"/>
      <c r="U34" s="13"/>
      <c r="V34" s="13"/>
      <c r="W34" s="13"/>
      <c r="X34" s="13"/>
      <c r="Y34" s="13"/>
      <c r="Z34" s="13"/>
      <c r="AA34" s="13"/>
      <c r="AB34" s="13"/>
    </row>
    <row r="35" spans="1:28" x14ac:dyDescent="0.25">
      <c r="A35">
        <v>215</v>
      </c>
      <c r="B35">
        <v>1</v>
      </c>
      <c r="C35">
        <v>0.30896421910783012</v>
      </c>
      <c r="D35">
        <v>0.35052769310960907</v>
      </c>
      <c r="E35">
        <v>3.3875579751437419</v>
      </c>
      <c r="F35">
        <v>3.3961141540959678</v>
      </c>
      <c r="G35" s="1">
        <f t="shared" si="0"/>
        <v>3.3918360646198549</v>
      </c>
      <c r="H35" s="1">
        <f t="shared" si="1"/>
        <v>7.9708147518566594</v>
      </c>
      <c r="I35">
        <v>0</v>
      </c>
      <c r="J35">
        <v>1</v>
      </c>
      <c r="L35" s="5"/>
      <c r="M35" s="5"/>
      <c r="N35" s="5"/>
      <c r="O35" s="5"/>
      <c r="P35" s="5"/>
      <c r="Q35" s="5"/>
      <c r="R35" s="5"/>
      <c r="S35" s="5"/>
      <c r="U35" s="13"/>
      <c r="V35" s="13"/>
      <c r="W35" s="13"/>
      <c r="X35" s="13"/>
      <c r="Y35" s="13"/>
      <c r="Z35" s="13"/>
      <c r="AA35" s="13"/>
      <c r="AB35" s="13"/>
    </row>
    <row r="36" spans="1:28" x14ac:dyDescent="0.25">
      <c r="A36">
        <v>220</v>
      </c>
      <c r="B36">
        <v>1</v>
      </c>
      <c r="C36">
        <v>0.35865416419286389</v>
      </c>
      <c r="D36">
        <v>0.111041173285572</v>
      </c>
      <c r="E36">
        <v>3.340742038676273</v>
      </c>
      <c r="F36">
        <v>3.4102446682031382</v>
      </c>
      <c r="G36" s="1">
        <f t="shared" si="0"/>
        <v>3.3754933534397056</v>
      </c>
      <c r="H36" s="1">
        <f t="shared" si="1"/>
        <v>7.9324093805833087</v>
      </c>
      <c r="I36">
        <v>0</v>
      </c>
      <c r="J36">
        <v>1</v>
      </c>
      <c r="L36" s="5"/>
      <c r="M36" s="5"/>
      <c r="N36" s="5"/>
      <c r="O36" s="5"/>
      <c r="P36" s="5"/>
      <c r="Q36" s="5"/>
      <c r="R36" s="5"/>
      <c r="S36" s="5"/>
      <c r="U36" s="13"/>
      <c r="V36" s="13"/>
      <c r="W36" s="13"/>
      <c r="X36" s="13"/>
      <c r="Y36" s="13"/>
      <c r="Z36" s="13"/>
      <c r="AA36" s="13"/>
      <c r="AB36" s="13"/>
    </row>
    <row r="37" spans="1:28" x14ac:dyDescent="0.25">
      <c r="A37">
        <v>225</v>
      </c>
      <c r="B37">
        <v>1</v>
      </c>
      <c r="C37">
        <v>0.14275562181841089</v>
      </c>
      <c r="D37">
        <v>-0.1193409429982063</v>
      </c>
      <c r="E37">
        <v>3.2822922153050418</v>
      </c>
      <c r="F37">
        <v>3.4101707101142469</v>
      </c>
      <c r="G37" s="1">
        <f t="shared" si="0"/>
        <v>3.3462314627096443</v>
      </c>
      <c r="H37" s="1">
        <f t="shared" si="1"/>
        <v>7.8636439373676641</v>
      </c>
      <c r="I37">
        <v>0</v>
      </c>
      <c r="J37">
        <v>0.99999999999999645</v>
      </c>
      <c r="L37" s="5"/>
      <c r="M37" s="5"/>
      <c r="N37" s="5"/>
      <c r="O37" s="5"/>
      <c r="P37" s="5"/>
      <c r="Q37" s="5"/>
      <c r="R37" s="5"/>
      <c r="S37" s="5"/>
      <c r="U37" s="13"/>
      <c r="V37" s="13"/>
      <c r="W37" s="13"/>
      <c r="X37" s="13"/>
      <c r="Y37" s="13"/>
      <c r="Z37" s="13"/>
      <c r="AA37" s="13"/>
      <c r="AB37" s="13"/>
    </row>
    <row r="38" spans="1:28" x14ac:dyDescent="0.25">
      <c r="A38">
        <v>230</v>
      </c>
      <c r="B38">
        <v>1</v>
      </c>
      <c r="C38">
        <v>0.42375663529681967</v>
      </c>
      <c r="D38">
        <v>0.1377595322773619</v>
      </c>
      <c r="E38">
        <v>3.2337779995776859</v>
      </c>
      <c r="F38">
        <v>3.4207977120651809</v>
      </c>
      <c r="G38" s="1">
        <f t="shared" si="0"/>
        <v>3.3272878558214334</v>
      </c>
      <c r="H38" s="1">
        <f t="shared" si="1"/>
        <v>7.8191264611803684</v>
      </c>
      <c r="I38">
        <v>0</v>
      </c>
      <c r="J38">
        <v>0.99999999999999889</v>
      </c>
      <c r="L38" s="5"/>
      <c r="M38" s="5"/>
      <c r="N38" s="5"/>
      <c r="O38" s="5"/>
      <c r="P38" s="5"/>
      <c r="Q38" s="5"/>
      <c r="R38" s="5"/>
      <c r="S38" s="5"/>
      <c r="U38" s="13"/>
      <c r="V38" s="13"/>
      <c r="W38" s="13"/>
      <c r="X38" s="13"/>
      <c r="Y38" s="13"/>
      <c r="Z38" s="13"/>
      <c r="AA38" s="13"/>
      <c r="AB38" s="13"/>
    </row>
    <row r="39" spans="1:28" x14ac:dyDescent="0.25">
      <c r="A39">
        <v>235</v>
      </c>
      <c r="B39">
        <v>1</v>
      </c>
      <c r="C39">
        <v>0.29482574499568831</v>
      </c>
      <c r="D39">
        <v>0.32000923981296903</v>
      </c>
      <c r="E39">
        <v>3.2061940388730039</v>
      </c>
      <c r="F39">
        <v>3.4193255245879439</v>
      </c>
      <c r="G39" s="1">
        <f t="shared" si="0"/>
        <v>3.3127597817304739</v>
      </c>
      <c r="H39" s="1">
        <f t="shared" si="1"/>
        <v>7.7849854870666144</v>
      </c>
      <c r="I39">
        <v>0</v>
      </c>
      <c r="J39">
        <v>0.99998354881976159</v>
      </c>
      <c r="L39" s="5"/>
      <c r="M39" s="5"/>
      <c r="N39" s="5"/>
      <c r="O39" s="5"/>
      <c r="P39" s="5"/>
      <c r="Q39" s="5"/>
      <c r="R39" s="5"/>
      <c r="S39" s="5"/>
      <c r="U39" s="13"/>
      <c r="V39" s="13"/>
      <c r="W39" s="13"/>
      <c r="X39" s="13"/>
      <c r="Y39" s="13"/>
      <c r="Z39" s="13"/>
      <c r="AA39" s="13"/>
      <c r="AB39" s="13"/>
    </row>
    <row r="40" spans="1:28" x14ac:dyDescent="0.25">
      <c r="A40">
        <v>240</v>
      </c>
      <c r="B40">
        <v>1</v>
      </c>
      <c r="C40">
        <v>0.20165024324234551</v>
      </c>
      <c r="D40">
        <v>0.22280118942062799</v>
      </c>
      <c r="E40">
        <v>3.1990419552965119</v>
      </c>
      <c r="F40">
        <v>3.3701516827436668</v>
      </c>
      <c r="G40" s="1">
        <f t="shared" si="0"/>
        <v>3.2845968190200896</v>
      </c>
      <c r="H40" s="1">
        <f t="shared" si="1"/>
        <v>7.7188025246972112</v>
      </c>
      <c r="I40">
        <v>0</v>
      </c>
      <c r="J40">
        <v>1</v>
      </c>
      <c r="L40" s="5"/>
      <c r="M40" s="5"/>
      <c r="N40" s="5"/>
      <c r="O40" s="5"/>
      <c r="P40" s="5"/>
      <c r="Q40" s="5"/>
      <c r="R40" s="5"/>
      <c r="S40" s="5"/>
      <c r="U40" s="13"/>
      <c r="V40" s="13"/>
      <c r="W40" s="13"/>
      <c r="X40" s="13"/>
      <c r="Y40" s="13"/>
      <c r="Z40" s="13"/>
      <c r="AA40" s="13"/>
      <c r="AB40" s="13"/>
    </row>
    <row r="41" spans="1:28" x14ac:dyDescent="0.25">
      <c r="A41">
        <v>245</v>
      </c>
      <c r="B41">
        <v>1</v>
      </c>
      <c r="C41">
        <v>5.8688319106339037E-2</v>
      </c>
      <c r="D41">
        <v>0.187559155359035</v>
      </c>
      <c r="E41">
        <v>2.9905366534337152</v>
      </c>
      <c r="F41">
        <v>3.1047775617382318</v>
      </c>
      <c r="G41" s="1">
        <f t="shared" si="0"/>
        <v>3.0476571075859735</v>
      </c>
      <c r="H41" s="1">
        <f t="shared" si="1"/>
        <v>7.1619942028270378</v>
      </c>
      <c r="I41">
        <v>0</v>
      </c>
      <c r="J41">
        <v>0.99866218342802915</v>
      </c>
      <c r="L41" s="5"/>
      <c r="M41" s="5"/>
      <c r="N41" s="5"/>
      <c r="O41" s="5"/>
      <c r="P41" s="5"/>
      <c r="Q41" s="5"/>
      <c r="R41" s="5"/>
      <c r="S41" s="5"/>
      <c r="U41" s="13"/>
      <c r="V41" s="13"/>
      <c r="W41" s="13"/>
      <c r="X41" s="13"/>
      <c r="Y41" s="13"/>
      <c r="Z41" s="13"/>
      <c r="AA41" s="13"/>
      <c r="AB41" s="13"/>
    </row>
  </sheetData>
  <mergeCells count="1">
    <mergeCell ref="B4:J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15BB9-3725-46A9-AB7C-BCCECE36F243}">
  <dimension ref="A1:AB41"/>
  <sheetViews>
    <sheetView workbookViewId="0">
      <selection activeCell="N6" sqref="N6"/>
    </sheetView>
  </sheetViews>
  <sheetFormatPr defaultRowHeight="15" x14ac:dyDescent="0.25"/>
  <cols>
    <col min="7" max="8" width="13.140625" customWidth="1"/>
    <col min="21" max="22" width="19.85546875" bestFit="1" customWidth="1"/>
    <col min="23" max="26" width="20.5703125" bestFit="1" customWidth="1"/>
    <col min="27" max="27" width="19.85546875" bestFit="1" customWidth="1"/>
    <col min="28" max="28" width="20.5703125" bestFit="1" customWidth="1"/>
  </cols>
  <sheetData>
    <row r="1" spans="1:28" x14ac:dyDescent="0.25">
      <c r="A1" t="s">
        <v>55</v>
      </c>
    </row>
    <row r="2" spans="1:28" x14ac:dyDescent="0.25">
      <c r="A2" t="s">
        <v>58</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1</v>
      </c>
      <c r="C6">
        <v>-9.8184652312183707E-2</v>
      </c>
      <c r="D6">
        <v>0.28119114864390637</v>
      </c>
      <c r="E6">
        <v>5.8015461653557399</v>
      </c>
      <c r="F6">
        <v>5.9752592714105432</v>
      </c>
      <c r="G6" s="1">
        <f>AVERAGE(E6:F6)</f>
        <v>5.8884027183831416</v>
      </c>
      <c r="H6" s="1">
        <f>2.35*G6</f>
        <v>13.837746388200383</v>
      </c>
      <c r="I6">
        <v>0</v>
      </c>
      <c r="J6">
        <v>0.97555889549089714</v>
      </c>
      <c r="L6" s="5"/>
      <c r="M6" s="5"/>
      <c r="N6" s="5"/>
      <c r="O6" s="5"/>
      <c r="P6" s="5"/>
      <c r="Q6" s="5"/>
      <c r="R6" s="5"/>
      <c r="S6" s="5"/>
      <c r="U6" s="14"/>
      <c r="V6" s="14"/>
      <c r="W6" s="14"/>
      <c r="X6" s="14"/>
      <c r="Y6" s="14"/>
      <c r="Z6" s="14"/>
      <c r="AA6" s="14"/>
      <c r="AB6" s="14"/>
    </row>
    <row r="7" spans="1:28" x14ac:dyDescent="0.25">
      <c r="A7">
        <v>75</v>
      </c>
      <c r="B7">
        <v>1</v>
      </c>
      <c r="C7">
        <v>-1.256167903357738E-2</v>
      </c>
      <c r="D7">
        <v>8.6812353394309025E-2</v>
      </c>
      <c r="E7">
        <v>5.5838757488264186</v>
      </c>
      <c r="F7">
        <v>5.6968134314404359</v>
      </c>
      <c r="G7" s="1">
        <f t="shared" ref="G7:G41" si="0">AVERAGE(E7:F7)</f>
        <v>5.6403445901334273</v>
      </c>
      <c r="H7" s="1">
        <f t="shared" ref="H7:H41" si="1">2.35*G7</f>
        <v>13.254809786813555</v>
      </c>
      <c r="I7">
        <v>0</v>
      </c>
      <c r="J7">
        <v>0.98056536203666944</v>
      </c>
      <c r="L7" s="5"/>
      <c r="M7" s="5"/>
      <c r="N7" s="5"/>
      <c r="O7" s="5"/>
      <c r="P7" s="5"/>
      <c r="Q7" s="5"/>
      <c r="R7" s="5"/>
      <c r="S7" s="5"/>
      <c r="U7" s="14"/>
      <c r="V7" s="14"/>
      <c r="W7" s="14"/>
      <c r="X7" s="14"/>
      <c r="Y7" s="14"/>
      <c r="Z7" s="14"/>
      <c r="AA7" s="14"/>
      <c r="AB7" s="14"/>
    </row>
    <row r="8" spans="1:28" x14ac:dyDescent="0.25">
      <c r="A8">
        <v>80</v>
      </c>
      <c r="B8">
        <v>1</v>
      </c>
      <c r="C8">
        <v>0.35237436900947311</v>
      </c>
      <c r="D8">
        <v>0.29451640051150468</v>
      </c>
      <c r="E8">
        <v>5.4448067123415136</v>
      </c>
      <c r="F8">
        <v>5.5891018480974397</v>
      </c>
      <c r="G8" s="1">
        <f t="shared" si="0"/>
        <v>5.5169542802194762</v>
      </c>
      <c r="H8" s="1">
        <f t="shared" si="1"/>
        <v>12.96484255851577</v>
      </c>
      <c r="I8">
        <v>0</v>
      </c>
      <c r="J8">
        <v>0.99375408263621701</v>
      </c>
      <c r="L8" s="5"/>
      <c r="M8" s="5"/>
      <c r="N8" s="5"/>
      <c r="O8" s="5"/>
      <c r="P8" s="5"/>
      <c r="Q8" s="5"/>
      <c r="R8" s="5"/>
      <c r="S8" s="5"/>
      <c r="U8" s="14"/>
      <c r="V8" s="14"/>
      <c r="W8" s="14"/>
      <c r="X8" s="14"/>
      <c r="Y8" s="14"/>
      <c r="Z8" s="14"/>
      <c r="AA8" s="14"/>
      <c r="AB8" s="14"/>
    </row>
    <row r="9" spans="1:28" x14ac:dyDescent="0.25">
      <c r="A9">
        <v>85</v>
      </c>
      <c r="B9">
        <v>1</v>
      </c>
      <c r="C9">
        <v>0.4479909272294062</v>
      </c>
      <c r="D9">
        <v>0.60773640934678885</v>
      </c>
      <c r="E9">
        <v>5.2356828371172233</v>
      </c>
      <c r="F9">
        <v>5.4186102027680816</v>
      </c>
      <c r="G9" s="1">
        <f t="shared" si="0"/>
        <v>5.3271465199426524</v>
      </c>
      <c r="H9" s="1">
        <f t="shared" si="1"/>
        <v>12.518794321865233</v>
      </c>
      <c r="I9">
        <v>0</v>
      </c>
      <c r="J9">
        <v>0.90610053377787958</v>
      </c>
      <c r="L9" s="5"/>
      <c r="M9" s="5"/>
      <c r="N9" s="5"/>
      <c r="O9" s="5"/>
      <c r="P9" s="5"/>
      <c r="Q9" s="5"/>
      <c r="R9" s="5"/>
      <c r="S9" s="5"/>
      <c r="U9" s="14"/>
      <c r="V9" s="14"/>
      <c r="W9" s="14"/>
      <c r="X9" s="14"/>
      <c r="Y9" s="14"/>
      <c r="Z9" s="14"/>
      <c r="AA9" s="14"/>
      <c r="AB9" s="14"/>
    </row>
    <row r="10" spans="1:28" x14ac:dyDescent="0.25">
      <c r="A10">
        <v>90</v>
      </c>
      <c r="B10">
        <v>1</v>
      </c>
      <c r="C10">
        <v>0.13011186307892461</v>
      </c>
      <c r="D10">
        <v>8.7309188335187832E-2</v>
      </c>
      <c r="E10">
        <v>5.0141207956317047</v>
      </c>
      <c r="F10">
        <v>5.2369457172610749</v>
      </c>
      <c r="G10" s="1">
        <f t="shared" si="0"/>
        <v>5.1255332564463902</v>
      </c>
      <c r="H10" s="1">
        <f t="shared" si="1"/>
        <v>12.045003152649018</v>
      </c>
      <c r="I10">
        <v>0</v>
      </c>
      <c r="J10">
        <v>0.9928956768712135</v>
      </c>
      <c r="L10" s="5"/>
      <c r="M10" s="5"/>
      <c r="N10" s="5"/>
      <c r="O10" s="5"/>
      <c r="P10" s="5"/>
      <c r="Q10" s="5"/>
      <c r="R10" s="5"/>
      <c r="S10" s="5"/>
      <c r="U10" s="14"/>
      <c r="V10" s="14"/>
      <c r="W10" s="14"/>
      <c r="X10" s="14"/>
      <c r="Y10" s="14"/>
      <c r="Z10" s="14"/>
      <c r="AA10" s="14"/>
      <c r="AB10" s="14"/>
    </row>
    <row r="11" spans="1:28" x14ac:dyDescent="0.25">
      <c r="A11">
        <v>95</v>
      </c>
      <c r="B11">
        <v>1</v>
      </c>
      <c r="C11">
        <v>4.8854231160438313E-2</v>
      </c>
      <c r="D11">
        <v>-4.103169915227598E-3</v>
      </c>
      <c r="E11">
        <v>4.8485092800687104</v>
      </c>
      <c r="F11">
        <v>5.0953110358090479</v>
      </c>
      <c r="G11" s="1">
        <f t="shared" si="0"/>
        <v>4.9719101579388791</v>
      </c>
      <c r="H11" s="1">
        <f t="shared" si="1"/>
        <v>11.683988871156366</v>
      </c>
      <c r="I11">
        <v>0</v>
      </c>
      <c r="J11">
        <v>0.99410745735480099</v>
      </c>
      <c r="L11" s="5"/>
      <c r="M11" s="5"/>
      <c r="N11" s="5"/>
      <c r="O11" s="5"/>
      <c r="P11" s="5"/>
      <c r="Q11" s="5"/>
      <c r="R11" s="5"/>
      <c r="S11" s="5"/>
      <c r="U11" s="14"/>
      <c r="V11" s="14"/>
      <c r="W11" s="14"/>
      <c r="X11" s="14"/>
      <c r="Y11" s="14"/>
      <c r="Z11" s="14"/>
      <c r="AA11" s="14"/>
      <c r="AB11" s="14"/>
    </row>
    <row r="12" spans="1:28" x14ac:dyDescent="0.25">
      <c r="A12">
        <v>100</v>
      </c>
      <c r="B12">
        <v>1</v>
      </c>
      <c r="C12">
        <v>-9.4230205655502955E-2</v>
      </c>
      <c r="D12">
        <v>0.50845465867638295</v>
      </c>
      <c r="E12">
        <v>4.6878468904185544</v>
      </c>
      <c r="F12">
        <v>4.9615007964518796</v>
      </c>
      <c r="G12" s="1">
        <f t="shared" si="0"/>
        <v>4.8246738434352174</v>
      </c>
      <c r="H12" s="1">
        <f t="shared" si="1"/>
        <v>11.337983532072762</v>
      </c>
      <c r="I12">
        <v>0</v>
      </c>
      <c r="J12">
        <v>0.9941577143445548</v>
      </c>
      <c r="L12" s="5"/>
      <c r="M12" s="5"/>
      <c r="N12" s="5"/>
      <c r="O12" s="5"/>
      <c r="P12" s="5"/>
      <c r="Q12" s="5"/>
      <c r="R12" s="5"/>
      <c r="S12" s="5"/>
      <c r="U12" s="14"/>
      <c r="V12" s="14"/>
      <c r="W12" s="14"/>
      <c r="X12" s="14"/>
      <c r="Y12" s="14"/>
      <c r="Z12" s="14"/>
      <c r="AA12" s="14"/>
      <c r="AB12" s="14"/>
    </row>
    <row r="13" spans="1:28" x14ac:dyDescent="0.25">
      <c r="A13">
        <v>105</v>
      </c>
      <c r="B13">
        <v>1</v>
      </c>
      <c r="C13">
        <v>0.32667815198413008</v>
      </c>
      <c r="D13">
        <v>0.48100687603789749</v>
      </c>
      <c r="E13">
        <v>4.4870550869488017</v>
      </c>
      <c r="F13">
        <v>4.7652634261132789</v>
      </c>
      <c r="G13" s="1">
        <f t="shared" si="0"/>
        <v>4.6261592565310403</v>
      </c>
      <c r="H13" s="1">
        <f t="shared" si="1"/>
        <v>10.871474252847944</v>
      </c>
      <c r="I13">
        <v>0</v>
      </c>
      <c r="J13">
        <v>0.87950481059993213</v>
      </c>
      <c r="L13" s="5"/>
      <c r="M13" s="5"/>
      <c r="N13" s="5"/>
      <c r="O13" s="5"/>
      <c r="P13" s="5"/>
      <c r="Q13" s="5"/>
      <c r="R13" s="5"/>
      <c r="S13" s="5"/>
      <c r="U13" s="14"/>
      <c r="V13" s="14"/>
      <c r="W13" s="14"/>
      <c r="X13" s="14"/>
      <c r="Y13" s="14"/>
      <c r="Z13" s="14"/>
      <c r="AA13" s="14"/>
      <c r="AB13" s="14"/>
    </row>
    <row r="14" spans="1:28" x14ac:dyDescent="0.25">
      <c r="A14">
        <v>110</v>
      </c>
      <c r="B14">
        <v>1</v>
      </c>
      <c r="C14">
        <v>-3.8386684536484139E-2</v>
      </c>
      <c r="D14">
        <v>0.47949820808069588</v>
      </c>
      <c r="E14">
        <v>4.4120664341856637</v>
      </c>
      <c r="F14">
        <v>4.6897830242445719</v>
      </c>
      <c r="G14" s="1">
        <f t="shared" si="0"/>
        <v>4.5509247292151178</v>
      </c>
      <c r="H14" s="1">
        <f t="shared" si="1"/>
        <v>10.694673113655528</v>
      </c>
      <c r="I14">
        <v>0</v>
      </c>
      <c r="J14">
        <v>0.99549486218252548</v>
      </c>
      <c r="L14" s="5"/>
      <c r="M14" s="5"/>
      <c r="N14" s="5"/>
      <c r="O14" s="5"/>
      <c r="P14" s="5"/>
      <c r="Q14" s="5"/>
      <c r="R14" s="5"/>
      <c r="S14" s="5"/>
      <c r="U14" s="14"/>
      <c r="V14" s="14"/>
      <c r="W14" s="14"/>
      <c r="X14" s="14"/>
      <c r="Y14" s="14"/>
      <c r="Z14" s="14"/>
      <c r="AA14" s="14"/>
      <c r="AB14" s="14"/>
    </row>
    <row r="15" spans="1:28" x14ac:dyDescent="0.25">
      <c r="A15">
        <v>115</v>
      </c>
      <c r="B15">
        <v>0.99999999998788958</v>
      </c>
      <c r="C15">
        <v>0.17965739042425061</v>
      </c>
      <c r="D15">
        <v>0.20751809703483201</v>
      </c>
      <c r="E15">
        <v>4.3184381715722822</v>
      </c>
      <c r="F15">
        <v>4.5895754240264131</v>
      </c>
      <c r="G15" s="1">
        <f t="shared" si="0"/>
        <v>4.454006797799348</v>
      </c>
      <c r="H15" s="1">
        <f t="shared" si="1"/>
        <v>10.466915974828469</v>
      </c>
      <c r="I15">
        <v>0</v>
      </c>
      <c r="J15">
        <v>0.94743168907612363</v>
      </c>
      <c r="L15" s="5"/>
      <c r="M15" s="5"/>
      <c r="N15" s="5"/>
      <c r="O15" s="5"/>
      <c r="P15" s="5"/>
      <c r="Q15" s="5"/>
      <c r="R15" s="5"/>
      <c r="S15" s="5"/>
      <c r="U15" s="14"/>
      <c r="V15" s="14"/>
      <c r="W15" s="14"/>
      <c r="X15" s="14"/>
      <c r="Y15" s="14"/>
      <c r="Z15" s="14"/>
      <c r="AA15" s="14"/>
      <c r="AB15" s="14"/>
    </row>
    <row r="16" spans="1:28" x14ac:dyDescent="0.25">
      <c r="A16">
        <v>120</v>
      </c>
      <c r="B16">
        <v>0.99999999999999878</v>
      </c>
      <c r="C16">
        <v>-5.6073799850668689E-2</v>
      </c>
      <c r="D16">
        <v>0.31472216835816558</v>
      </c>
      <c r="E16">
        <v>4.2023943346201094</v>
      </c>
      <c r="F16">
        <v>4.4634743953358109</v>
      </c>
      <c r="G16" s="1">
        <f t="shared" si="0"/>
        <v>4.3329343649779606</v>
      </c>
      <c r="H16" s="1">
        <f t="shared" si="1"/>
        <v>10.182395757698208</v>
      </c>
      <c r="I16">
        <v>0</v>
      </c>
      <c r="J16">
        <v>0.91828288088179588</v>
      </c>
      <c r="L16" s="5"/>
      <c r="M16" s="5"/>
      <c r="N16" s="5"/>
      <c r="O16" s="5"/>
      <c r="P16" s="5"/>
      <c r="Q16" s="5"/>
      <c r="R16" s="5"/>
      <c r="S16" s="5"/>
      <c r="U16" s="14"/>
      <c r="V16" s="14"/>
      <c r="W16" s="14"/>
      <c r="X16" s="14"/>
      <c r="Y16" s="14"/>
      <c r="Z16" s="14"/>
      <c r="AA16" s="14"/>
      <c r="AB16" s="14"/>
    </row>
    <row r="17" spans="1:28" x14ac:dyDescent="0.25">
      <c r="A17">
        <v>125</v>
      </c>
      <c r="B17">
        <v>0.9999999999999597</v>
      </c>
      <c r="C17">
        <v>0.19586718458775579</v>
      </c>
      <c r="D17">
        <v>0.22137526334766611</v>
      </c>
      <c r="E17">
        <v>4.1640352694784886</v>
      </c>
      <c r="F17">
        <v>4.4167269034124832</v>
      </c>
      <c r="G17" s="1">
        <f t="shared" si="0"/>
        <v>4.2903810864454854</v>
      </c>
      <c r="H17" s="1">
        <f t="shared" si="1"/>
        <v>10.082395553146892</v>
      </c>
      <c r="I17">
        <v>0</v>
      </c>
      <c r="J17">
        <v>0.90874241988016347</v>
      </c>
      <c r="L17" s="5"/>
      <c r="M17" s="5"/>
      <c r="N17" s="5"/>
      <c r="O17" s="5"/>
      <c r="P17" s="5"/>
      <c r="Q17" s="5"/>
      <c r="R17" s="5"/>
      <c r="S17" s="5"/>
      <c r="U17" s="14"/>
      <c r="V17" s="14"/>
      <c r="W17" s="14"/>
      <c r="X17" s="14"/>
      <c r="Y17" s="14"/>
      <c r="Z17" s="14"/>
      <c r="AA17" s="14"/>
      <c r="AB17" s="14"/>
    </row>
    <row r="18" spans="1:28" x14ac:dyDescent="0.25">
      <c r="A18">
        <v>130</v>
      </c>
      <c r="B18">
        <v>1</v>
      </c>
      <c r="C18">
        <v>4.5810271287365173E-2</v>
      </c>
      <c r="D18">
        <v>0.20194543945949539</v>
      </c>
      <c r="E18">
        <v>4.0937306493859591</v>
      </c>
      <c r="F18">
        <v>4.3339380438759374</v>
      </c>
      <c r="G18" s="1">
        <f t="shared" si="0"/>
        <v>4.2138343466309482</v>
      </c>
      <c r="H18" s="1">
        <f t="shared" si="1"/>
        <v>9.9025107145827285</v>
      </c>
      <c r="I18">
        <v>0</v>
      </c>
      <c r="J18">
        <v>0.99829958023945575</v>
      </c>
      <c r="L18" s="5"/>
      <c r="M18" s="5"/>
      <c r="N18" s="5"/>
      <c r="O18" s="5"/>
      <c r="P18" s="5"/>
      <c r="Q18" s="5"/>
      <c r="R18" s="5"/>
      <c r="S18" s="5"/>
      <c r="U18" s="14"/>
      <c r="V18" s="14"/>
      <c r="W18" s="14"/>
      <c r="X18" s="14"/>
      <c r="Y18" s="14"/>
      <c r="Z18" s="14"/>
      <c r="AA18" s="14"/>
      <c r="AB18" s="14"/>
    </row>
    <row r="19" spans="1:28" x14ac:dyDescent="0.25">
      <c r="A19">
        <v>135</v>
      </c>
      <c r="B19">
        <v>0.99999999999971179</v>
      </c>
      <c r="C19">
        <v>-2.493385733764112E-2</v>
      </c>
      <c r="D19">
        <v>-0.1192086583104013</v>
      </c>
      <c r="E19">
        <v>4.025040284242146</v>
      </c>
      <c r="F19">
        <v>4.2582961197267251</v>
      </c>
      <c r="G19" s="1">
        <f t="shared" si="0"/>
        <v>4.1416682019844355</v>
      </c>
      <c r="H19" s="1">
        <f t="shared" si="1"/>
        <v>9.7329202746634245</v>
      </c>
      <c r="I19">
        <v>0</v>
      </c>
      <c r="J19">
        <v>0.99859065251305223</v>
      </c>
      <c r="L19" s="5"/>
      <c r="M19" s="5"/>
      <c r="N19" s="5"/>
      <c r="O19" s="5"/>
      <c r="P19" s="5"/>
      <c r="Q19" s="5"/>
      <c r="R19" s="5"/>
      <c r="S19" s="5"/>
      <c r="U19" s="14"/>
      <c r="V19" s="14"/>
      <c r="W19" s="14"/>
      <c r="X19" s="14"/>
      <c r="Y19" s="14"/>
      <c r="Z19" s="14"/>
      <c r="AA19" s="14"/>
      <c r="AB19" s="14"/>
    </row>
    <row r="20" spans="1:28" x14ac:dyDescent="0.25">
      <c r="A20">
        <v>140</v>
      </c>
      <c r="B20">
        <v>0.9999999999988326</v>
      </c>
      <c r="C20">
        <v>9.2388883383543854E-2</v>
      </c>
      <c r="D20">
        <v>0.20531241439095341</v>
      </c>
      <c r="E20">
        <v>3.9667878230936759</v>
      </c>
      <c r="F20">
        <v>4.1917078524861928</v>
      </c>
      <c r="G20" s="1">
        <f t="shared" si="0"/>
        <v>4.0792478377899339</v>
      </c>
      <c r="H20" s="1">
        <f t="shared" si="1"/>
        <v>9.586232418806345</v>
      </c>
      <c r="I20">
        <v>0</v>
      </c>
      <c r="J20">
        <v>0.90961494941883281</v>
      </c>
      <c r="L20" s="5"/>
      <c r="M20" s="5"/>
      <c r="N20" s="5"/>
      <c r="O20" s="5"/>
      <c r="P20" s="5"/>
      <c r="Q20" s="5"/>
      <c r="R20" s="5"/>
      <c r="S20" s="5"/>
      <c r="U20" s="14"/>
      <c r="V20" s="14"/>
      <c r="W20" s="14"/>
      <c r="X20" s="14"/>
      <c r="Y20" s="14"/>
      <c r="Z20" s="14"/>
      <c r="AA20" s="14"/>
      <c r="AB20" s="14"/>
    </row>
    <row r="21" spans="1:28" x14ac:dyDescent="0.25">
      <c r="A21">
        <v>145</v>
      </c>
      <c r="B21">
        <v>0.99999999999</v>
      </c>
      <c r="C21">
        <v>5.7005192292730912E-2</v>
      </c>
      <c r="D21">
        <v>0.1657745582417241</v>
      </c>
      <c r="E21">
        <v>3.9792895574883591</v>
      </c>
      <c r="F21">
        <v>4.1459792866490286</v>
      </c>
      <c r="G21" s="1">
        <f t="shared" si="0"/>
        <v>4.0626344220686939</v>
      </c>
      <c r="H21" s="1">
        <f t="shared" si="1"/>
        <v>9.5471908918614314</v>
      </c>
      <c r="I21">
        <v>0</v>
      </c>
      <c r="J21">
        <v>1</v>
      </c>
      <c r="L21" s="5"/>
      <c r="M21" s="5"/>
      <c r="N21" s="5"/>
      <c r="O21" s="5"/>
      <c r="P21" s="5"/>
      <c r="Q21" s="5"/>
      <c r="R21" s="5"/>
      <c r="S21" s="5"/>
      <c r="U21" s="14"/>
      <c r="V21" s="14"/>
      <c r="W21" s="14"/>
      <c r="X21" s="14"/>
      <c r="Y21" s="14"/>
      <c r="Z21" s="14"/>
      <c r="AA21" s="14"/>
      <c r="AB21" s="14"/>
    </row>
    <row r="22" spans="1:28" x14ac:dyDescent="0.25">
      <c r="A22">
        <v>150</v>
      </c>
      <c r="B22">
        <v>1</v>
      </c>
      <c r="C22">
        <v>-0.1039367105112336</v>
      </c>
      <c r="D22">
        <v>0.1782038484651193</v>
      </c>
      <c r="E22">
        <v>3.863128792450925</v>
      </c>
      <c r="F22">
        <v>4.085851087789151</v>
      </c>
      <c r="G22" s="1">
        <f t="shared" si="0"/>
        <v>3.974489940120038</v>
      </c>
      <c r="H22" s="1">
        <f t="shared" si="1"/>
        <v>9.3400513592820893</v>
      </c>
      <c r="I22">
        <v>0</v>
      </c>
      <c r="J22">
        <v>0.91035884031221637</v>
      </c>
      <c r="L22" s="5"/>
      <c r="M22" s="5"/>
      <c r="N22" s="5"/>
      <c r="O22" s="5"/>
      <c r="P22" s="5"/>
      <c r="Q22" s="5"/>
      <c r="R22" s="5"/>
      <c r="S22" s="5"/>
      <c r="U22" s="14"/>
      <c r="V22" s="14"/>
      <c r="W22" s="14"/>
      <c r="X22" s="14"/>
      <c r="Y22" s="14"/>
      <c r="Z22" s="14"/>
      <c r="AA22" s="14"/>
      <c r="AB22" s="14"/>
    </row>
    <row r="23" spans="1:28" x14ac:dyDescent="0.25">
      <c r="A23">
        <v>155</v>
      </c>
      <c r="B23">
        <v>1</v>
      </c>
      <c r="C23">
        <v>-0.14869785348306799</v>
      </c>
      <c r="D23">
        <v>0.24438630059917199</v>
      </c>
      <c r="E23">
        <v>3.8179461897272788</v>
      </c>
      <c r="F23">
        <v>4.0479751162225632</v>
      </c>
      <c r="G23" s="1">
        <f t="shared" si="0"/>
        <v>3.9329606529749208</v>
      </c>
      <c r="H23" s="1">
        <f t="shared" si="1"/>
        <v>9.2424575344910647</v>
      </c>
      <c r="I23">
        <v>0</v>
      </c>
      <c r="J23">
        <v>1</v>
      </c>
      <c r="L23" s="5"/>
      <c r="M23" s="5"/>
      <c r="N23" s="5"/>
      <c r="O23" s="5"/>
      <c r="P23" s="5"/>
      <c r="Q23" s="5"/>
      <c r="R23" s="5"/>
      <c r="S23" s="5"/>
      <c r="U23" s="14"/>
      <c r="V23" s="14"/>
      <c r="W23" s="14"/>
      <c r="X23" s="14"/>
      <c r="Y23" s="14"/>
      <c r="Z23" s="14"/>
      <c r="AA23" s="14"/>
      <c r="AB23" s="14"/>
    </row>
    <row r="24" spans="1:28" x14ac:dyDescent="0.25">
      <c r="A24">
        <v>160</v>
      </c>
      <c r="B24">
        <v>1</v>
      </c>
      <c r="C24">
        <v>0.1965480099390795</v>
      </c>
      <c r="D24">
        <v>0.18088214811689721</v>
      </c>
      <c r="E24">
        <v>3.776316651490685</v>
      </c>
      <c r="F24">
        <v>4.0093812156604871</v>
      </c>
      <c r="G24" s="1">
        <f t="shared" si="0"/>
        <v>3.892848933575586</v>
      </c>
      <c r="H24" s="1">
        <f t="shared" si="1"/>
        <v>9.1481949939026279</v>
      </c>
      <c r="I24">
        <v>0</v>
      </c>
      <c r="J24">
        <v>0.99999999078382462</v>
      </c>
      <c r="L24" s="5"/>
      <c r="M24" s="5"/>
      <c r="N24" s="5"/>
      <c r="O24" s="5"/>
      <c r="P24" s="5"/>
      <c r="Q24" s="5"/>
      <c r="R24" s="5"/>
      <c r="S24" s="5"/>
      <c r="U24" s="14"/>
      <c r="V24" s="14"/>
      <c r="W24" s="14"/>
      <c r="X24" s="14"/>
      <c r="Y24" s="14"/>
      <c r="Z24" s="14"/>
      <c r="AA24" s="14"/>
      <c r="AB24" s="14"/>
    </row>
    <row r="25" spans="1:28" x14ac:dyDescent="0.25">
      <c r="A25">
        <v>165</v>
      </c>
      <c r="B25">
        <v>1</v>
      </c>
      <c r="C25">
        <v>6.4029055708456795E-2</v>
      </c>
      <c r="D25">
        <v>0.30530423659368822</v>
      </c>
      <c r="E25">
        <v>3.7229448900701518</v>
      </c>
      <c r="F25">
        <v>3.9612256906793002</v>
      </c>
      <c r="G25" s="1">
        <f t="shared" si="0"/>
        <v>3.842085290374726</v>
      </c>
      <c r="H25" s="1">
        <f t="shared" si="1"/>
        <v>9.0289004323806061</v>
      </c>
      <c r="I25">
        <v>0</v>
      </c>
      <c r="J25">
        <v>1</v>
      </c>
      <c r="L25" s="5"/>
      <c r="M25" s="5"/>
      <c r="N25" s="5"/>
      <c r="O25" s="5"/>
      <c r="P25" s="5"/>
      <c r="Q25" s="5"/>
      <c r="R25" s="5"/>
      <c r="S25" s="5"/>
      <c r="U25" s="14"/>
      <c r="V25" s="14"/>
      <c r="W25" s="14"/>
      <c r="X25" s="14"/>
      <c r="Y25" s="14"/>
      <c r="Z25" s="14"/>
      <c r="AA25" s="14"/>
      <c r="AB25" s="14"/>
    </row>
    <row r="26" spans="1:28" x14ac:dyDescent="0.25">
      <c r="A26">
        <v>170</v>
      </c>
      <c r="B26">
        <v>1</v>
      </c>
      <c r="C26">
        <v>0.1068806364442301</v>
      </c>
      <c r="D26">
        <v>0.22423025322207341</v>
      </c>
      <c r="E26">
        <v>3.6360367607635808</v>
      </c>
      <c r="F26">
        <v>3.8716554466394828</v>
      </c>
      <c r="G26" s="1">
        <f t="shared" si="0"/>
        <v>3.753846103701532</v>
      </c>
      <c r="H26" s="1">
        <f t="shared" si="1"/>
        <v>8.8215383436986006</v>
      </c>
      <c r="I26">
        <v>0</v>
      </c>
      <c r="J26">
        <v>1</v>
      </c>
      <c r="L26" s="5"/>
      <c r="M26" s="5"/>
      <c r="N26" s="5"/>
      <c r="O26" s="5"/>
      <c r="P26" s="5"/>
      <c r="Q26" s="5"/>
      <c r="R26" s="5"/>
      <c r="S26" s="5"/>
      <c r="U26" s="14"/>
      <c r="V26" s="14"/>
      <c r="W26" s="14"/>
      <c r="X26" s="14"/>
      <c r="Y26" s="14"/>
      <c r="Z26" s="14"/>
      <c r="AA26" s="14"/>
      <c r="AB26" s="14"/>
    </row>
    <row r="27" spans="1:28" x14ac:dyDescent="0.25">
      <c r="A27">
        <v>175</v>
      </c>
      <c r="B27">
        <v>1</v>
      </c>
      <c r="C27">
        <v>-9.4042904914464098E-2</v>
      </c>
      <c r="D27">
        <v>4.6604332402085863E-2</v>
      </c>
      <c r="E27">
        <v>3.6131731976966721</v>
      </c>
      <c r="F27">
        <v>3.8462746449375689</v>
      </c>
      <c r="G27" s="1">
        <f t="shared" si="0"/>
        <v>3.7297239213171203</v>
      </c>
      <c r="H27" s="1">
        <f t="shared" si="1"/>
        <v>8.7648512150952325</v>
      </c>
      <c r="I27">
        <v>0</v>
      </c>
      <c r="J27">
        <v>0.99999999999993694</v>
      </c>
      <c r="L27" s="5"/>
      <c r="M27" s="5"/>
      <c r="N27" s="5"/>
      <c r="O27" s="5"/>
      <c r="P27" s="5"/>
      <c r="Q27" s="5"/>
      <c r="R27" s="5"/>
      <c r="S27" s="5"/>
      <c r="U27" s="14"/>
      <c r="V27" s="14"/>
      <c r="W27" s="14"/>
      <c r="X27" s="14"/>
      <c r="Y27" s="14"/>
      <c r="Z27" s="14"/>
      <c r="AA27" s="14"/>
      <c r="AB27" s="14"/>
    </row>
    <row r="28" spans="1:28" x14ac:dyDescent="0.25">
      <c r="A28">
        <v>180</v>
      </c>
      <c r="B28">
        <v>1</v>
      </c>
      <c r="C28">
        <v>-2.4752222034910361E-3</v>
      </c>
      <c r="D28">
        <v>-2.342608252358282E-2</v>
      </c>
      <c r="E28">
        <v>3.571873003309066</v>
      </c>
      <c r="F28">
        <v>3.8025364296114028</v>
      </c>
      <c r="G28" s="1">
        <f t="shared" si="0"/>
        <v>3.6872047164602346</v>
      </c>
      <c r="H28" s="1">
        <f t="shared" si="1"/>
        <v>8.6649310836815516</v>
      </c>
      <c r="I28">
        <v>0</v>
      </c>
      <c r="J28">
        <v>0.99999999999917433</v>
      </c>
      <c r="L28" s="5"/>
      <c r="M28" s="5"/>
      <c r="N28" s="5"/>
      <c r="O28" s="5"/>
      <c r="P28" s="5"/>
      <c r="Q28" s="5"/>
      <c r="R28" s="5"/>
      <c r="S28" s="5"/>
      <c r="U28" s="14"/>
      <c r="V28" s="14"/>
      <c r="W28" s="14"/>
      <c r="X28" s="14"/>
      <c r="Y28" s="14"/>
      <c r="Z28" s="14"/>
      <c r="AA28" s="14"/>
      <c r="AB28" s="14"/>
    </row>
    <row r="29" spans="1:28" x14ac:dyDescent="0.25">
      <c r="A29">
        <v>185</v>
      </c>
      <c r="B29">
        <v>1</v>
      </c>
      <c r="C29">
        <v>-0.13056451319063139</v>
      </c>
      <c r="D29">
        <v>0.20138400690127151</v>
      </c>
      <c r="E29">
        <v>3.5396105221687781</v>
      </c>
      <c r="F29">
        <v>3.7477680712494221</v>
      </c>
      <c r="G29" s="1">
        <f t="shared" si="0"/>
        <v>3.6436892967091001</v>
      </c>
      <c r="H29" s="1">
        <f t="shared" si="1"/>
        <v>8.5626698472663865</v>
      </c>
      <c r="I29">
        <v>0</v>
      </c>
      <c r="J29">
        <v>0.99999999969208409</v>
      </c>
      <c r="L29" s="5"/>
      <c r="M29" s="5"/>
      <c r="N29" s="5"/>
      <c r="O29" s="5"/>
      <c r="P29" s="5"/>
      <c r="Q29" s="5"/>
      <c r="R29" s="5"/>
      <c r="S29" s="5"/>
      <c r="U29" s="14"/>
      <c r="V29" s="14"/>
      <c r="W29" s="14"/>
      <c r="X29" s="14"/>
      <c r="Y29" s="14"/>
      <c r="Z29" s="14"/>
      <c r="AA29" s="14"/>
      <c r="AB29" s="14"/>
    </row>
    <row r="30" spans="1:28" x14ac:dyDescent="0.25">
      <c r="A30">
        <v>190</v>
      </c>
      <c r="B30">
        <v>1</v>
      </c>
      <c r="C30">
        <v>-0.16422678830729159</v>
      </c>
      <c r="D30">
        <v>4.1295688034310177E-2</v>
      </c>
      <c r="E30">
        <v>3.5231059073582109</v>
      </c>
      <c r="F30">
        <v>3.7034251718150508</v>
      </c>
      <c r="G30" s="1">
        <f t="shared" si="0"/>
        <v>3.6132655395866307</v>
      </c>
      <c r="H30" s="1">
        <f t="shared" si="1"/>
        <v>8.4911740180285822</v>
      </c>
      <c r="I30">
        <v>0</v>
      </c>
      <c r="J30">
        <v>1</v>
      </c>
      <c r="L30" s="5"/>
      <c r="M30" s="5"/>
      <c r="N30" s="5"/>
      <c r="O30" s="5"/>
      <c r="P30" s="5"/>
      <c r="Q30" s="5"/>
      <c r="R30" s="5"/>
      <c r="S30" s="5"/>
      <c r="U30" s="14"/>
      <c r="V30" s="14"/>
      <c r="W30" s="14"/>
      <c r="X30" s="14"/>
      <c r="Y30" s="14"/>
      <c r="Z30" s="14"/>
      <c r="AA30" s="14"/>
      <c r="AB30" s="14"/>
    </row>
    <row r="31" spans="1:28" x14ac:dyDescent="0.25">
      <c r="A31">
        <v>195</v>
      </c>
      <c r="B31">
        <v>1</v>
      </c>
      <c r="C31">
        <v>7.6144098620099007E-2</v>
      </c>
      <c r="D31">
        <v>0.28988752910471849</v>
      </c>
      <c r="E31">
        <v>3.4757475980963668</v>
      </c>
      <c r="F31">
        <v>3.6372761853415359</v>
      </c>
      <c r="G31" s="1">
        <f t="shared" si="0"/>
        <v>3.5565118917189515</v>
      </c>
      <c r="H31" s="1">
        <f t="shared" si="1"/>
        <v>8.357802945539536</v>
      </c>
      <c r="I31">
        <v>0</v>
      </c>
      <c r="J31">
        <v>0.99999999991021638</v>
      </c>
      <c r="L31" s="5"/>
      <c r="M31" s="5"/>
      <c r="N31" s="5"/>
      <c r="O31" s="5"/>
      <c r="P31" s="5"/>
      <c r="Q31" s="5"/>
      <c r="R31" s="5"/>
      <c r="S31" s="5"/>
      <c r="U31" s="14"/>
      <c r="V31" s="14"/>
      <c r="W31" s="14"/>
      <c r="X31" s="14"/>
      <c r="Y31" s="14"/>
      <c r="Z31" s="14"/>
      <c r="AA31" s="14"/>
      <c r="AB31" s="14"/>
    </row>
    <row r="32" spans="1:28" x14ac:dyDescent="0.25">
      <c r="A32">
        <v>200</v>
      </c>
      <c r="B32">
        <v>1</v>
      </c>
      <c r="C32">
        <v>0.11739012609128729</v>
      </c>
      <c r="D32">
        <v>0.31828252208738589</v>
      </c>
      <c r="E32">
        <v>3.4739863957198271</v>
      </c>
      <c r="F32">
        <v>3.6113999005988688</v>
      </c>
      <c r="G32" s="1">
        <f t="shared" si="0"/>
        <v>3.5426931481593478</v>
      </c>
      <c r="H32" s="1">
        <f t="shared" si="1"/>
        <v>8.3253288981744671</v>
      </c>
      <c r="I32">
        <v>0</v>
      </c>
      <c r="J32">
        <v>1</v>
      </c>
      <c r="L32" s="5"/>
      <c r="M32" s="5"/>
      <c r="N32" s="5"/>
      <c r="O32" s="5"/>
      <c r="P32" s="5"/>
      <c r="Q32" s="5"/>
      <c r="R32" s="5"/>
      <c r="S32" s="5"/>
      <c r="U32" s="14"/>
      <c r="V32" s="14"/>
      <c r="W32" s="14"/>
      <c r="X32" s="14"/>
      <c r="Y32" s="14"/>
      <c r="Z32" s="14"/>
      <c r="AA32" s="14"/>
      <c r="AB32" s="14"/>
    </row>
    <row r="33" spans="1:28" x14ac:dyDescent="0.25">
      <c r="A33">
        <v>205</v>
      </c>
      <c r="B33">
        <v>1</v>
      </c>
      <c r="C33">
        <v>-0.1301805767923408</v>
      </c>
      <c r="D33">
        <v>3.5209159191865042E-2</v>
      </c>
      <c r="E33">
        <v>3.42436346358495</v>
      </c>
      <c r="F33">
        <v>3.533858337009169</v>
      </c>
      <c r="G33" s="1">
        <f t="shared" si="0"/>
        <v>3.4791109002970595</v>
      </c>
      <c r="H33" s="1">
        <f t="shared" si="1"/>
        <v>8.1759106156980899</v>
      </c>
      <c r="I33">
        <v>0</v>
      </c>
      <c r="J33">
        <v>0.99999999999487399</v>
      </c>
      <c r="L33" s="5"/>
      <c r="M33" s="5"/>
      <c r="N33" s="5"/>
      <c r="O33" s="5"/>
      <c r="P33" s="5"/>
      <c r="Q33" s="5"/>
      <c r="R33" s="5"/>
      <c r="S33" s="5"/>
      <c r="U33" s="14"/>
      <c r="V33" s="14"/>
      <c r="W33" s="14"/>
      <c r="X33" s="14"/>
      <c r="Y33" s="14"/>
      <c r="Z33" s="14"/>
      <c r="AA33" s="14"/>
      <c r="AB33" s="14"/>
    </row>
    <row r="34" spans="1:28" x14ac:dyDescent="0.25">
      <c r="A34">
        <v>210</v>
      </c>
      <c r="B34">
        <v>1</v>
      </c>
      <c r="C34">
        <v>0.17587364549127921</v>
      </c>
      <c r="D34">
        <v>5.3642348792129993E-2</v>
      </c>
      <c r="E34">
        <v>3.381206775896533</v>
      </c>
      <c r="F34">
        <v>3.4755955567904011</v>
      </c>
      <c r="G34" s="1">
        <f t="shared" si="0"/>
        <v>3.428401166343467</v>
      </c>
      <c r="H34" s="1">
        <f t="shared" si="1"/>
        <v>8.056742740907147</v>
      </c>
      <c r="I34">
        <v>0</v>
      </c>
      <c r="J34">
        <v>0.99999999999220734</v>
      </c>
      <c r="L34" s="5"/>
      <c r="M34" s="5"/>
      <c r="N34" s="5"/>
      <c r="O34" s="5"/>
      <c r="P34" s="5"/>
      <c r="Q34" s="5"/>
      <c r="R34" s="5"/>
      <c r="S34" s="5"/>
      <c r="U34" s="14"/>
      <c r="V34" s="14"/>
      <c r="W34" s="14"/>
      <c r="X34" s="14"/>
      <c r="Y34" s="14"/>
      <c r="Z34" s="14"/>
      <c r="AA34" s="14"/>
      <c r="AB34" s="14"/>
    </row>
    <row r="35" spans="1:28" x14ac:dyDescent="0.25">
      <c r="A35">
        <v>215</v>
      </c>
      <c r="B35">
        <v>1</v>
      </c>
      <c r="C35">
        <v>-7.4168288740576127E-2</v>
      </c>
      <c r="D35">
        <v>-2.4065208128820459E-2</v>
      </c>
      <c r="E35">
        <v>3.3356043605926651</v>
      </c>
      <c r="F35">
        <v>3.4047056648612259</v>
      </c>
      <c r="G35" s="1">
        <f t="shared" si="0"/>
        <v>3.3701550127269453</v>
      </c>
      <c r="H35" s="1">
        <f t="shared" si="1"/>
        <v>7.9198642799083219</v>
      </c>
      <c r="I35">
        <v>0</v>
      </c>
      <c r="J35">
        <v>0.99999999999666989</v>
      </c>
      <c r="L35" s="5"/>
      <c r="M35" s="5"/>
      <c r="N35" s="5"/>
      <c r="O35" s="5"/>
      <c r="P35" s="5"/>
      <c r="Q35" s="5"/>
      <c r="R35" s="5"/>
      <c r="S35" s="5"/>
      <c r="U35" s="14"/>
      <c r="V35" s="14"/>
      <c r="W35" s="14"/>
      <c r="X35" s="14"/>
      <c r="Y35" s="14"/>
      <c r="Z35" s="14"/>
      <c r="AA35" s="14"/>
      <c r="AB35" s="14"/>
    </row>
    <row r="36" spans="1:28" x14ac:dyDescent="0.25">
      <c r="A36">
        <v>220</v>
      </c>
      <c r="B36">
        <v>1</v>
      </c>
      <c r="C36">
        <v>-5.6282152702511787E-2</v>
      </c>
      <c r="D36">
        <v>0.24433984794512781</v>
      </c>
      <c r="E36">
        <v>3.3362305309394409</v>
      </c>
      <c r="F36">
        <v>3.3708513736333279</v>
      </c>
      <c r="G36" s="1">
        <f t="shared" si="0"/>
        <v>3.3535409522863846</v>
      </c>
      <c r="H36" s="1">
        <f t="shared" si="1"/>
        <v>7.880821237873004</v>
      </c>
      <c r="I36">
        <v>0</v>
      </c>
      <c r="J36">
        <v>0.99999999999999967</v>
      </c>
      <c r="L36" s="5"/>
      <c r="M36" s="5"/>
      <c r="N36" s="5"/>
      <c r="O36" s="5"/>
      <c r="P36" s="5"/>
      <c r="Q36" s="5"/>
      <c r="R36" s="5"/>
      <c r="S36" s="5"/>
      <c r="U36" s="14"/>
      <c r="V36" s="14"/>
      <c r="W36" s="14"/>
      <c r="X36" s="14"/>
      <c r="Y36" s="14"/>
      <c r="Z36" s="14"/>
      <c r="AA36" s="14"/>
      <c r="AB36" s="14"/>
    </row>
    <row r="37" spans="1:28" x14ac:dyDescent="0.25">
      <c r="A37">
        <v>225</v>
      </c>
      <c r="B37">
        <v>1</v>
      </c>
      <c r="C37">
        <v>-3.6705898347449098E-2</v>
      </c>
      <c r="D37">
        <v>-5.7200541385607533E-2</v>
      </c>
      <c r="E37">
        <v>3.287731226063793</v>
      </c>
      <c r="F37">
        <v>3.2722895115140669</v>
      </c>
      <c r="G37" s="1">
        <f t="shared" si="0"/>
        <v>3.2800103687889299</v>
      </c>
      <c r="H37" s="1">
        <f t="shared" si="1"/>
        <v>7.7080243666539854</v>
      </c>
      <c r="I37">
        <v>0</v>
      </c>
      <c r="J37">
        <v>0.99999999999874967</v>
      </c>
      <c r="L37" s="5"/>
      <c r="M37" s="5"/>
      <c r="N37" s="5"/>
      <c r="O37" s="5"/>
      <c r="P37" s="5"/>
      <c r="Q37" s="5"/>
      <c r="R37" s="5"/>
      <c r="S37" s="5"/>
      <c r="U37" s="14"/>
      <c r="V37" s="14"/>
      <c r="W37" s="14"/>
      <c r="X37" s="14"/>
      <c r="Y37" s="14"/>
      <c r="Z37" s="14"/>
      <c r="AA37" s="14"/>
      <c r="AB37" s="14"/>
    </row>
    <row r="38" spans="1:28" x14ac:dyDescent="0.25">
      <c r="A38">
        <v>230</v>
      </c>
      <c r="B38">
        <v>1</v>
      </c>
      <c r="C38">
        <v>-1.0347919425622619E-2</v>
      </c>
      <c r="D38">
        <v>-0.2205949812027713</v>
      </c>
      <c r="E38">
        <v>3.306031429742688</v>
      </c>
      <c r="F38">
        <v>3.2453710445546129</v>
      </c>
      <c r="G38" s="1">
        <f t="shared" si="0"/>
        <v>3.2757012371486507</v>
      </c>
      <c r="H38" s="1">
        <f t="shared" si="1"/>
        <v>7.6978979072993292</v>
      </c>
      <c r="I38">
        <v>0</v>
      </c>
      <c r="J38">
        <v>1</v>
      </c>
      <c r="L38" s="5"/>
      <c r="M38" s="5"/>
      <c r="N38" s="5"/>
      <c r="O38" s="5"/>
      <c r="P38" s="5"/>
      <c r="Q38" s="5"/>
      <c r="R38" s="5"/>
      <c r="S38" s="5"/>
      <c r="U38" s="14"/>
      <c r="V38" s="14"/>
      <c r="W38" s="14"/>
      <c r="X38" s="14"/>
      <c r="Y38" s="14"/>
      <c r="Z38" s="14"/>
      <c r="AA38" s="14"/>
      <c r="AB38" s="14"/>
    </row>
    <row r="39" spans="1:28" x14ac:dyDescent="0.25">
      <c r="A39">
        <v>235</v>
      </c>
      <c r="B39">
        <v>1</v>
      </c>
      <c r="C39">
        <v>-9.9801903673290074E-2</v>
      </c>
      <c r="D39">
        <v>0.1810886394940858</v>
      </c>
      <c r="E39">
        <v>3.3031077578217469</v>
      </c>
      <c r="F39">
        <v>3.1985809487178081</v>
      </c>
      <c r="G39" s="1">
        <f t="shared" si="0"/>
        <v>3.2508443532697777</v>
      </c>
      <c r="H39" s="1">
        <f t="shared" si="1"/>
        <v>7.639484230183978</v>
      </c>
      <c r="I39">
        <v>0</v>
      </c>
      <c r="J39">
        <v>1</v>
      </c>
      <c r="L39" s="5"/>
      <c r="M39" s="5"/>
      <c r="N39" s="5"/>
      <c r="O39" s="5"/>
      <c r="P39" s="5"/>
      <c r="Q39" s="5"/>
      <c r="R39" s="5"/>
      <c r="S39" s="5"/>
      <c r="U39" s="14"/>
      <c r="V39" s="14"/>
      <c r="W39" s="14"/>
      <c r="X39" s="14"/>
      <c r="Y39" s="14"/>
      <c r="Z39" s="14"/>
      <c r="AA39" s="14"/>
      <c r="AB39" s="14"/>
    </row>
    <row r="40" spans="1:28" x14ac:dyDescent="0.25">
      <c r="A40">
        <v>240</v>
      </c>
      <c r="B40">
        <v>1</v>
      </c>
      <c r="C40">
        <v>0.14303994053462851</v>
      </c>
      <c r="D40">
        <v>0.27681861251119638</v>
      </c>
      <c r="E40">
        <v>3.2249255586510248</v>
      </c>
      <c r="F40">
        <v>3.1454832302758282</v>
      </c>
      <c r="G40" s="1">
        <f t="shared" si="0"/>
        <v>3.1852043944634265</v>
      </c>
      <c r="H40" s="1">
        <f t="shared" si="1"/>
        <v>7.4852303269890523</v>
      </c>
      <c r="I40">
        <v>0</v>
      </c>
      <c r="J40">
        <v>0.99999999911820214</v>
      </c>
      <c r="L40" s="5"/>
      <c r="M40" s="5"/>
      <c r="N40" s="5"/>
      <c r="O40" s="5"/>
      <c r="P40" s="5"/>
      <c r="Q40" s="5"/>
      <c r="R40" s="5"/>
      <c r="S40" s="5"/>
      <c r="U40" s="14"/>
      <c r="V40" s="14"/>
      <c r="W40" s="14"/>
      <c r="X40" s="14"/>
      <c r="Y40" s="14"/>
      <c r="Z40" s="14"/>
      <c r="AA40" s="14"/>
      <c r="AB40" s="14"/>
    </row>
    <row r="41" spans="1:28" x14ac:dyDescent="0.25">
      <c r="A41">
        <v>245</v>
      </c>
      <c r="B41">
        <v>1</v>
      </c>
      <c r="C41">
        <v>5.4328642878055063E-2</v>
      </c>
      <c r="D41">
        <v>0.2249021909725594</v>
      </c>
      <c r="E41">
        <v>3.0822290002873332</v>
      </c>
      <c r="F41">
        <v>2.9752427923376321</v>
      </c>
      <c r="G41" s="1">
        <f t="shared" si="0"/>
        <v>3.0287358963124826</v>
      </c>
      <c r="H41" s="1">
        <f t="shared" si="1"/>
        <v>7.1175293563343347</v>
      </c>
      <c r="I41">
        <v>0</v>
      </c>
      <c r="J41">
        <v>0.99968513374017476</v>
      </c>
      <c r="L41" s="5"/>
      <c r="M41" s="5"/>
      <c r="N41" s="5"/>
      <c r="O41" s="5"/>
      <c r="P41" s="5"/>
      <c r="Q41" s="5"/>
      <c r="R41" s="5"/>
      <c r="S41" s="5"/>
      <c r="U41" s="14"/>
      <c r="V41" s="14"/>
      <c r="W41" s="14"/>
      <c r="X41" s="14"/>
      <c r="Y41" s="14"/>
      <c r="Z41" s="14"/>
      <c r="AA41" s="14"/>
      <c r="AB41" s="14"/>
    </row>
  </sheetData>
  <mergeCells count="1">
    <mergeCell ref="B4:J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3A8E-BBB1-4429-8EF4-BC0901EC3462}">
  <dimension ref="A1:AB41"/>
  <sheetViews>
    <sheetView workbookViewId="0">
      <selection activeCell="K21" sqref="K21"/>
    </sheetView>
  </sheetViews>
  <sheetFormatPr defaultRowHeight="15" x14ac:dyDescent="0.25"/>
  <cols>
    <col min="7" max="8" width="15.85546875" customWidth="1"/>
    <col min="21" max="22" width="20.85546875" bestFit="1" customWidth="1"/>
    <col min="23" max="26" width="21.7109375" bestFit="1" customWidth="1"/>
    <col min="27" max="27" width="20.85546875" bestFit="1" customWidth="1"/>
    <col min="28" max="28" width="21.7109375" bestFit="1" customWidth="1"/>
  </cols>
  <sheetData>
    <row r="1" spans="1:28" x14ac:dyDescent="0.25">
      <c r="A1" t="s">
        <v>55</v>
      </c>
    </row>
    <row r="2" spans="1:28" x14ac:dyDescent="0.25">
      <c r="A2" t="s">
        <v>59</v>
      </c>
    </row>
    <row r="4" spans="1:28" x14ac:dyDescent="0.25">
      <c r="B4" s="25" t="s">
        <v>24</v>
      </c>
      <c r="C4" s="25"/>
      <c r="D4" s="25"/>
      <c r="E4" s="25"/>
      <c r="F4" s="25"/>
      <c r="G4" s="25"/>
      <c r="H4" s="25"/>
      <c r="I4" s="25"/>
      <c r="J4" s="25"/>
    </row>
    <row r="5" spans="1:28" x14ac:dyDescent="0.25">
      <c r="A5" t="s">
        <v>25</v>
      </c>
      <c r="B5" t="s">
        <v>26</v>
      </c>
      <c r="C5" t="s">
        <v>27</v>
      </c>
      <c r="D5" t="s">
        <v>28</v>
      </c>
      <c r="E5" t="s">
        <v>29</v>
      </c>
      <c r="F5" t="s">
        <v>30</v>
      </c>
      <c r="G5" s="1" t="s">
        <v>31</v>
      </c>
      <c r="H5" s="1" t="s">
        <v>65</v>
      </c>
      <c r="I5" t="s">
        <v>32</v>
      </c>
      <c r="J5" t="s">
        <v>26</v>
      </c>
      <c r="L5" s="5"/>
      <c r="M5" s="5"/>
      <c r="N5" s="5"/>
      <c r="O5" s="5"/>
      <c r="P5" s="5"/>
      <c r="Q5" s="5"/>
      <c r="R5" s="5"/>
      <c r="S5" s="5"/>
    </row>
    <row r="6" spans="1:28" x14ac:dyDescent="0.25">
      <c r="A6">
        <v>70</v>
      </c>
      <c r="B6">
        <v>1</v>
      </c>
      <c r="C6">
        <v>0.30791129961374453</v>
      </c>
      <c r="D6">
        <v>0.1376563605210499</v>
      </c>
      <c r="E6">
        <v>5.8059479441501152</v>
      </c>
      <c r="F6">
        <v>5.7897784842423992</v>
      </c>
      <c r="G6" s="1">
        <f>AVERAGE(E6:F6)</f>
        <v>5.7978632141962567</v>
      </c>
      <c r="H6" s="1">
        <f>2.35*G6</f>
        <v>13.624978553361204</v>
      </c>
      <c r="I6">
        <v>0</v>
      </c>
      <c r="J6">
        <v>0.96578084762371397</v>
      </c>
      <c r="L6" s="5"/>
      <c r="M6" s="5"/>
      <c r="N6" s="5"/>
      <c r="O6" s="5"/>
      <c r="P6" s="5"/>
      <c r="Q6" s="5"/>
      <c r="R6" s="5"/>
      <c r="S6" s="5"/>
      <c r="U6" s="15"/>
      <c r="V6" s="15"/>
      <c r="W6" s="15"/>
      <c r="X6" s="15"/>
      <c r="Y6" s="15"/>
      <c r="Z6" s="15"/>
      <c r="AA6" s="15"/>
      <c r="AB6" s="15"/>
    </row>
    <row r="7" spans="1:28" x14ac:dyDescent="0.25">
      <c r="A7">
        <v>75</v>
      </c>
      <c r="B7">
        <v>1</v>
      </c>
      <c r="C7">
        <v>6.2792801686859218E-2</v>
      </c>
      <c r="D7">
        <v>0.6300790899286477</v>
      </c>
      <c r="E7">
        <v>5.5764323780404599</v>
      </c>
      <c r="F7">
        <v>5.5813474515447163</v>
      </c>
      <c r="G7" s="1">
        <f t="shared" ref="G7:G41" si="0">AVERAGE(E7:F7)</f>
        <v>5.5788899147925886</v>
      </c>
      <c r="H7" s="1">
        <f t="shared" ref="H7:H41" si="1">2.35*G7</f>
        <v>13.110391299762584</v>
      </c>
      <c r="I7">
        <v>0</v>
      </c>
      <c r="J7">
        <v>0.98645409229012304</v>
      </c>
      <c r="L7" s="5"/>
      <c r="M7" s="5"/>
      <c r="N7" s="5"/>
      <c r="O7" s="5"/>
      <c r="P7" s="5"/>
      <c r="Q7" s="5"/>
      <c r="R7" s="5"/>
      <c r="S7" s="5"/>
      <c r="U7" s="15"/>
      <c r="V7" s="15"/>
      <c r="W7" s="15"/>
      <c r="X7" s="15"/>
      <c r="Y7" s="15"/>
      <c r="Z7" s="15"/>
      <c r="AA7" s="15"/>
      <c r="AB7" s="15"/>
    </row>
    <row r="8" spans="1:28" x14ac:dyDescent="0.25">
      <c r="A8">
        <v>80</v>
      </c>
      <c r="B8">
        <v>1</v>
      </c>
      <c r="C8">
        <v>0.24468907004169921</v>
      </c>
      <c r="D8">
        <v>0.22126240196822061</v>
      </c>
      <c r="E8">
        <v>5.3753274298463314</v>
      </c>
      <c r="F8">
        <v>5.3477141818318756</v>
      </c>
      <c r="G8" s="1">
        <f t="shared" si="0"/>
        <v>5.3615208058391035</v>
      </c>
      <c r="H8" s="1">
        <f t="shared" si="1"/>
        <v>12.599573893721894</v>
      </c>
      <c r="I8">
        <v>0</v>
      </c>
      <c r="J8">
        <v>0.97833901204689699</v>
      </c>
      <c r="L8" s="5"/>
      <c r="M8" s="5"/>
      <c r="N8" s="5"/>
      <c r="O8" s="5"/>
      <c r="P8" s="5"/>
      <c r="Q8" s="5"/>
      <c r="R8" s="5"/>
      <c r="S8" s="5"/>
      <c r="U8" s="15"/>
      <c r="V8" s="15"/>
      <c r="W8" s="15"/>
      <c r="X8" s="15"/>
      <c r="Y8" s="15"/>
      <c r="Z8" s="15"/>
      <c r="AA8" s="15"/>
      <c r="AB8" s="15"/>
    </row>
    <row r="9" spans="1:28" x14ac:dyDescent="0.25">
      <c r="A9">
        <v>85</v>
      </c>
      <c r="B9">
        <v>1</v>
      </c>
      <c r="C9">
        <v>0.16520003168468819</v>
      </c>
      <c r="D9">
        <v>0.3479591528310999</v>
      </c>
      <c r="E9">
        <v>5.2430256167966522</v>
      </c>
      <c r="F9">
        <v>5.186764628959498</v>
      </c>
      <c r="G9" s="1">
        <f t="shared" si="0"/>
        <v>5.2148951228780751</v>
      </c>
      <c r="H9" s="1">
        <f t="shared" si="1"/>
        <v>12.255003538763477</v>
      </c>
      <c r="I9">
        <v>0</v>
      </c>
      <c r="J9">
        <v>0.88677211368643105</v>
      </c>
      <c r="L9" s="5"/>
      <c r="M9" s="5"/>
      <c r="N9" s="5"/>
      <c r="O9" s="5"/>
      <c r="P9" s="5"/>
      <c r="Q9" s="5"/>
      <c r="R9" s="5"/>
      <c r="S9" s="5"/>
      <c r="U9" s="15"/>
      <c r="V9" s="15"/>
      <c r="W9" s="15"/>
      <c r="X9" s="15"/>
      <c r="Y9" s="15"/>
      <c r="Z9" s="15"/>
      <c r="AA9" s="15"/>
      <c r="AB9" s="15"/>
    </row>
    <row r="10" spans="1:28" x14ac:dyDescent="0.25">
      <c r="A10">
        <v>90</v>
      </c>
      <c r="B10">
        <v>1</v>
      </c>
      <c r="C10">
        <v>0.16071013883235211</v>
      </c>
      <c r="D10">
        <v>0.1925508373851911</v>
      </c>
      <c r="E10">
        <v>5.0721709555878602</v>
      </c>
      <c r="F10">
        <v>4.9856885123940176</v>
      </c>
      <c r="G10" s="1">
        <f t="shared" si="0"/>
        <v>5.0289297339909389</v>
      </c>
      <c r="H10" s="1">
        <f t="shared" si="1"/>
        <v>11.817984874878707</v>
      </c>
      <c r="I10">
        <v>0</v>
      </c>
      <c r="J10">
        <v>0.85022182797979406</v>
      </c>
      <c r="L10" s="5"/>
      <c r="M10" s="5"/>
      <c r="N10" s="5"/>
      <c r="O10" s="5"/>
      <c r="P10" s="5"/>
      <c r="Q10" s="5"/>
      <c r="R10" s="5"/>
      <c r="S10" s="5"/>
      <c r="U10" s="15"/>
      <c r="V10" s="15"/>
      <c r="W10" s="15"/>
      <c r="X10" s="15"/>
      <c r="Y10" s="15"/>
      <c r="Z10" s="15"/>
      <c r="AA10" s="15"/>
      <c r="AB10" s="15"/>
    </row>
    <row r="11" spans="1:28" x14ac:dyDescent="0.25">
      <c r="A11">
        <v>95</v>
      </c>
      <c r="B11">
        <v>1</v>
      </c>
      <c r="C11">
        <v>0.36143361217626008</v>
      </c>
      <c r="D11">
        <v>0.17276480803871039</v>
      </c>
      <c r="E11">
        <v>4.9999426222590566</v>
      </c>
      <c r="F11">
        <v>4.878178670030235</v>
      </c>
      <c r="G11" s="1">
        <f t="shared" si="0"/>
        <v>4.9390606461446458</v>
      </c>
      <c r="H11" s="1">
        <f t="shared" si="1"/>
        <v>11.606792518439917</v>
      </c>
      <c r="I11">
        <v>0</v>
      </c>
      <c r="J11">
        <v>0.84656510956229591</v>
      </c>
      <c r="L11" s="5"/>
      <c r="M11" s="5"/>
      <c r="N11" s="5"/>
      <c r="O11" s="5"/>
      <c r="P11" s="5"/>
      <c r="Q11" s="5"/>
      <c r="R11" s="5"/>
      <c r="S11" s="5"/>
      <c r="U11" s="15"/>
      <c r="V11" s="15"/>
      <c r="W11" s="15"/>
      <c r="X11" s="15"/>
      <c r="Y11" s="15"/>
      <c r="Z11" s="15"/>
      <c r="AA11" s="15"/>
      <c r="AB11" s="15"/>
    </row>
    <row r="12" spans="1:28" x14ac:dyDescent="0.25">
      <c r="A12">
        <v>100</v>
      </c>
      <c r="B12">
        <v>1</v>
      </c>
      <c r="C12">
        <v>0.18925256504357471</v>
      </c>
      <c r="D12">
        <v>0.10000422891264379</v>
      </c>
      <c r="E12">
        <v>4.8820657209542926</v>
      </c>
      <c r="F12">
        <v>4.7566701561951836</v>
      </c>
      <c r="G12" s="1">
        <f t="shared" si="0"/>
        <v>4.8193679385747377</v>
      </c>
      <c r="H12" s="1">
        <f t="shared" si="1"/>
        <v>11.325514655650634</v>
      </c>
      <c r="I12">
        <v>0</v>
      </c>
      <c r="J12">
        <v>0.90044640030038658</v>
      </c>
      <c r="L12" s="5"/>
      <c r="M12" s="5"/>
      <c r="N12" s="5"/>
      <c r="O12" s="5"/>
      <c r="P12" s="5"/>
      <c r="Q12" s="5"/>
      <c r="R12" s="5"/>
      <c r="S12" s="5"/>
      <c r="U12" s="15"/>
      <c r="V12" s="15"/>
      <c r="W12" s="15"/>
      <c r="X12" s="15"/>
      <c r="Y12" s="15"/>
      <c r="Z12" s="15"/>
      <c r="AA12" s="15"/>
      <c r="AB12" s="15"/>
    </row>
    <row r="13" spans="1:28" x14ac:dyDescent="0.25">
      <c r="A13">
        <v>105</v>
      </c>
      <c r="B13">
        <v>0.99703739373129907</v>
      </c>
      <c r="C13">
        <v>-0.12864223924416879</v>
      </c>
      <c r="D13">
        <v>-6.675069092929338E-2</v>
      </c>
      <c r="E13">
        <v>4.6467400106006336</v>
      </c>
      <c r="F13">
        <v>4.5431476803492377</v>
      </c>
      <c r="G13" s="1">
        <f t="shared" si="0"/>
        <v>4.5949438454749352</v>
      </c>
      <c r="H13" s="1">
        <f t="shared" si="1"/>
        <v>10.798118036866098</v>
      </c>
      <c r="I13">
        <v>0</v>
      </c>
      <c r="J13">
        <v>0.92300907270514088</v>
      </c>
      <c r="L13" s="5"/>
      <c r="M13" s="5"/>
      <c r="N13" s="5"/>
      <c r="O13" s="5"/>
      <c r="P13" s="5"/>
      <c r="Q13" s="5"/>
      <c r="R13" s="5"/>
      <c r="S13" s="5"/>
      <c r="U13" s="15"/>
      <c r="V13" s="15"/>
      <c r="W13" s="15"/>
      <c r="X13" s="15"/>
      <c r="Y13" s="15"/>
      <c r="Z13" s="15"/>
      <c r="AA13" s="15"/>
      <c r="AB13" s="15"/>
    </row>
    <row r="14" spans="1:28" x14ac:dyDescent="0.25">
      <c r="A14">
        <v>110</v>
      </c>
      <c r="B14">
        <v>1</v>
      </c>
      <c r="C14">
        <v>-0.2316194020325654</v>
      </c>
      <c r="D14">
        <v>-0.1179774464377529</v>
      </c>
      <c r="E14">
        <v>4.5907891871063464</v>
      </c>
      <c r="F14">
        <v>4.4671321640292616</v>
      </c>
      <c r="G14" s="1">
        <f t="shared" si="0"/>
        <v>4.528960675567804</v>
      </c>
      <c r="H14" s="1">
        <f t="shared" si="1"/>
        <v>10.643057587584339</v>
      </c>
      <c r="I14">
        <v>0</v>
      </c>
      <c r="J14">
        <v>0.9099943803756555</v>
      </c>
      <c r="L14" s="5"/>
      <c r="M14" s="5"/>
      <c r="N14" s="5"/>
      <c r="O14" s="5"/>
      <c r="P14" s="5"/>
      <c r="Q14" s="5"/>
      <c r="R14" s="5"/>
      <c r="S14" s="5"/>
      <c r="U14" s="15"/>
      <c r="V14" s="15"/>
      <c r="W14" s="15"/>
      <c r="X14" s="15"/>
      <c r="Y14" s="15"/>
      <c r="Z14" s="15"/>
      <c r="AA14" s="15"/>
      <c r="AB14" s="15"/>
    </row>
    <row r="15" spans="1:28" x14ac:dyDescent="0.25">
      <c r="A15">
        <v>115</v>
      </c>
      <c r="B15">
        <v>1</v>
      </c>
      <c r="C15">
        <v>7.1695136074410415E-2</v>
      </c>
      <c r="D15">
        <v>-0.13425404899487159</v>
      </c>
      <c r="E15">
        <v>4.5094252433196162</v>
      </c>
      <c r="F15">
        <v>4.3844536364717186</v>
      </c>
      <c r="G15" s="1">
        <f t="shared" si="0"/>
        <v>4.446939439895667</v>
      </c>
      <c r="H15" s="1">
        <f t="shared" si="1"/>
        <v>10.450307683754819</v>
      </c>
      <c r="I15">
        <v>0</v>
      </c>
      <c r="J15">
        <v>0.99859949433529582</v>
      </c>
      <c r="L15" s="5"/>
      <c r="M15" s="5"/>
      <c r="N15" s="5"/>
      <c r="O15" s="5"/>
      <c r="P15" s="5"/>
      <c r="Q15" s="5"/>
      <c r="R15" s="5"/>
      <c r="S15" s="5"/>
      <c r="U15" s="15"/>
      <c r="V15" s="15"/>
      <c r="W15" s="15"/>
      <c r="X15" s="15"/>
      <c r="Y15" s="15"/>
      <c r="Z15" s="15"/>
      <c r="AA15" s="15"/>
      <c r="AB15" s="15"/>
    </row>
    <row r="16" spans="1:28" x14ac:dyDescent="0.25">
      <c r="A16">
        <v>120</v>
      </c>
      <c r="B16">
        <v>0.99999999999998435</v>
      </c>
      <c r="C16">
        <v>0.15118862565951419</v>
      </c>
      <c r="D16">
        <v>-3.7953911860001723E-2</v>
      </c>
      <c r="E16">
        <v>4.4043089779825593</v>
      </c>
      <c r="F16">
        <v>4.2805231091177749</v>
      </c>
      <c r="G16" s="1">
        <f t="shared" si="0"/>
        <v>4.3424160435501671</v>
      </c>
      <c r="H16" s="1">
        <f t="shared" si="1"/>
        <v>10.204677702342893</v>
      </c>
      <c r="I16">
        <v>0</v>
      </c>
      <c r="J16">
        <v>0.88787960277108779</v>
      </c>
      <c r="L16" s="5"/>
      <c r="M16" s="5"/>
      <c r="N16" s="5"/>
      <c r="O16" s="5"/>
      <c r="P16" s="5"/>
      <c r="Q16" s="5"/>
      <c r="R16" s="5"/>
      <c r="S16" s="5"/>
      <c r="U16" s="15"/>
      <c r="V16" s="15"/>
      <c r="W16" s="15"/>
      <c r="X16" s="15"/>
      <c r="Y16" s="15"/>
      <c r="Z16" s="15"/>
      <c r="AA16" s="15"/>
      <c r="AB16" s="15"/>
    </row>
    <row r="17" spans="1:28" x14ac:dyDescent="0.25">
      <c r="A17">
        <v>125</v>
      </c>
      <c r="B17">
        <v>0.99999999999990619</v>
      </c>
      <c r="C17">
        <v>-0.11069924259926971</v>
      </c>
      <c r="D17">
        <v>0.13610892096432109</v>
      </c>
      <c r="E17">
        <v>4.3783833827750369</v>
      </c>
      <c r="F17">
        <v>4.2514955969632764</v>
      </c>
      <c r="G17" s="1">
        <f t="shared" si="0"/>
        <v>4.3149394898691567</v>
      </c>
      <c r="H17" s="1">
        <f t="shared" si="1"/>
        <v>10.140107801192519</v>
      </c>
      <c r="I17">
        <v>0</v>
      </c>
      <c r="J17">
        <v>0.93320063060844127</v>
      </c>
      <c r="L17" s="5"/>
      <c r="M17" s="5"/>
      <c r="N17" s="5"/>
      <c r="O17" s="5"/>
      <c r="P17" s="5"/>
      <c r="Q17" s="5"/>
      <c r="R17" s="5"/>
      <c r="S17" s="5"/>
      <c r="U17" s="15"/>
      <c r="V17" s="15"/>
      <c r="W17" s="15"/>
      <c r="X17" s="15"/>
      <c r="Y17" s="15"/>
      <c r="Z17" s="15"/>
      <c r="AA17" s="15"/>
      <c r="AB17" s="15"/>
    </row>
    <row r="18" spans="1:28" x14ac:dyDescent="0.25">
      <c r="A18">
        <v>130</v>
      </c>
      <c r="B18">
        <v>0.99999999992579613</v>
      </c>
      <c r="C18">
        <v>-0.1303274994586906</v>
      </c>
      <c r="D18">
        <v>0.1166559836663751</v>
      </c>
      <c r="E18">
        <v>4.2936014311279767</v>
      </c>
      <c r="F18">
        <v>4.1631783361385812</v>
      </c>
      <c r="G18" s="1">
        <f t="shared" si="0"/>
        <v>4.2283898836332785</v>
      </c>
      <c r="H18" s="1">
        <f t="shared" si="1"/>
        <v>9.9367162265382056</v>
      </c>
      <c r="I18">
        <v>0</v>
      </c>
      <c r="J18">
        <v>0.95474544566134112</v>
      </c>
      <c r="L18" s="5"/>
      <c r="M18" s="5"/>
      <c r="N18" s="5"/>
      <c r="O18" s="5"/>
      <c r="P18" s="5"/>
      <c r="Q18" s="5"/>
      <c r="R18" s="5"/>
      <c r="S18" s="5"/>
      <c r="U18" s="15"/>
      <c r="V18" s="15"/>
      <c r="W18" s="15"/>
      <c r="X18" s="15"/>
      <c r="Y18" s="15"/>
      <c r="Z18" s="15"/>
      <c r="AA18" s="15"/>
      <c r="AB18" s="15"/>
    </row>
    <row r="19" spans="1:28" x14ac:dyDescent="0.25">
      <c r="A19">
        <v>135</v>
      </c>
      <c r="B19">
        <v>0.99999999999</v>
      </c>
      <c r="C19">
        <v>0.18584257649856589</v>
      </c>
      <c r="D19">
        <v>0.1177442497608346</v>
      </c>
      <c r="E19">
        <v>4.3009353676875346</v>
      </c>
      <c r="F19">
        <v>4.1565981124920119</v>
      </c>
      <c r="G19" s="1">
        <f t="shared" si="0"/>
        <v>4.2287667400897728</v>
      </c>
      <c r="H19" s="1">
        <f t="shared" si="1"/>
        <v>9.9376018392109664</v>
      </c>
      <c r="I19">
        <v>0</v>
      </c>
      <c r="J19">
        <v>1</v>
      </c>
      <c r="L19" s="5"/>
      <c r="M19" s="5"/>
      <c r="N19" s="5"/>
      <c r="O19" s="5"/>
      <c r="P19" s="5"/>
      <c r="Q19" s="5"/>
      <c r="R19" s="5"/>
      <c r="S19" s="5"/>
      <c r="U19" s="15"/>
      <c r="V19" s="15"/>
      <c r="W19" s="15"/>
      <c r="X19" s="15"/>
      <c r="Y19" s="15"/>
      <c r="Z19" s="15"/>
      <c r="AA19" s="15"/>
      <c r="AB19" s="15"/>
    </row>
    <row r="20" spans="1:28" x14ac:dyDescent="0.25">
      <c r="A20">
        <v>140</v>
      </c>
      <c r="B20">
        <v>0.99999999969232811</v>
      </c>
      <c r="C20">
        <v>-6.6283006162154476E-2</v>
      </c>
      <c r="D20">
        <v>0.1082191672390678</v>
      </c>
      <c r="E20">
        <v>4.2073287284576848</v>
      </c>
      <c r="F20">
        <v>4.0595424660904742</v>
      </c>
      <c r="G20" s="1">
        <f t="shared" si="0"/>
        <v>4.1334355972740795</v>
      </c>
      <c r="H20" s="1">
        <f t="shared" si="1"/>
        <v>9.7135736535940875</v>
      </c>
      <c r="I20">
        <v>0</v>
      </c>
      <c r="J20">
        <v>1</v>
      </c>
      <c r="L20" s="5"/>
      <c r="M20" s="5"/>
      <c r="N20" s="5"/>
      <c r="O20" s="5"/>
      <c r="P20" s="5"/>
      <c r="Q20" s="5"/>
      <c r="R20" s="5"/>
      <c r="S20" s="5"/>
      <c r="U20" s="15"/>
      <c r="V20" s="15"/>
      <c r="W20" s="15"/>
      <c r="X20" s="15"/>
      <c r="Y20" s="15"/>
      <c r="Z20" s="15"/>
      <c r="AA20" s="15"/>
      <c r="AB20" s="15"/>
    </row>
    <row r="21" spans="1:28" x14ac:dyDescent="0.25">
      <c r="A21">
        <v>145</v>
      </c>
      <c r="B21">
        <v>0.99999999999882971</v>
      </c>
      <c r="C21">
        <v>-0.14196030333819021</v>
      </c>
      <c r="D21">
        <v>0.37113047758110962</v>
      </c>
      <c r="E21">
        <v>4.1552707300056584</v>
      </c>
      <c r="F21">
        <v>4.0260437256949277</v>
      </c>
      <c r="G21" s="1">
        <f t="shared" si="0"/>
        <v>4.0906572278502935</v>
      </c>
      <c r="H21" s="1">
        <f t="shared" si="1"/>
        <v>9.6130444854481905</v>
      </c>
      <c r="I21">
        <v>0</v>
      </c>
      <c r="J21">
        <v>0.99999998923089062</v>
      </c>
      <c r="L21" s="5"/>
      <c r="M21" s="5"/>
      <c r="N21" s="5"/>
      <c r="O21" s="5"/>
      <c r="P21" s="5"/>
      <c r="Q21" s="5"/>
      <c r="R21" s="5"/>
      <c r="S21" s="5"/>
      <c r="U21" s="15"/>
      <c r="V21" s="15"/>
      <c r="W21" s="15"/>
      <c r="X21" s="15"/>
      <c r="Y21" s="15"/>
      <c r="Z21" s="15"/>
      <c r="AA21" s="15"/>
      <c r="AB21" s="15"/>
    </row>
    <row r="22" spans="1:28" x14ac:dyDescent="0.25">
      <c r="A22">
        <v>150</v>
      </c>
      <c r="B22">
        <v>1</v>
      </c>
      <c r="C22">
        <v>-0.15398520590579021</v>
      </c>
      <c r="D22">
        <v>9.4225074115571933E-2</v>
      </c>
      <c r="E22">
        <v>4.0913874249269204</v>
      </c>
      <c r="F22">
        <v>3.9751899422460748</v>
      </c>
      <c r="G22" s="1">
        <f t="shared" si="0"/>
        <v>4.0332886835864974</v>
      </c>
      <c r="H22" s="1">
        <f t="shared" si="1"/>
        <v>9.4782284064282685</v>
      </c>
      <c r="I22">
        <v>0</v>
      </c>
      <c r="J22">
        <v>0.99999996850714912</v>
      </c>
      <c r="L22" s="5"/>
      <c r="M22" s="5"/>
      <c r="N22" s="5"/>
      <c r="O22" s="5"/>
      <c r="P22" s="5"/>
      <c r="Q22" s="5"/>
      <c r="R22" s="5"/>
      <c r="S22" s="5"/>
      <c r="U22" s="15"/>
      <c r="V22" s="15"/>
      <c r="W22" s="15"/>
      <c r="X22" s="15"/>
      <c r="Y22" s="15"/>
      <c r="Z22" s="15"/>
      <c r="AA22" s="15"/>
      <c r="AB22" s="15"/>
    </row>
    <row r="23" spans="1:28" x14ac:dyDescent="0.25">
      <c r="A23">
        <v>155</v>
      </c>
      <c r="B23">
        <v>0.99999999999736988</v>
      </c>
      <c r="C23">
        <v>9.2396835701496607E-2</v>
      </c>
      <c r="D23">
        <v>7.3851100074476886E-2</v>
      </c>
      <c r="E23">
        <v>4.0430005845320434</v>
      </c>
      <c r="F23">
        <v>3.9174540086993739</v>
      </c>
      <c r="G23" s="1">
        <f t="shared" si="0"/>
        <v>3.9802272966157086</v>
      </c>
      <c r="H23" s="1">
        <f t="shared" si="1"/>
        <v>9.3535341470469149</v>
      </c>
      <c r="I23">
        <v>0</v>
      </c>
      <c r="J23">
        <v>0.99999999999785794</v>
      </c>
      <c r="L23" s="5"/>
      <c r="M23" s="5"/>
      <c r="N23" s="5"/>
      <c r="O23" s="5"/>
      <c r="P23" s="5"/>
      <c r="Q23" s="5"/>
      <c r="R23" s="5"/>
      <c r="S23" s="5"/>
      <c r="U23" s="15"/>
      <c r="V23" s="15"/>
      <c r="W23" s="15"/>
      <c r="X23" s="15"/>
      <c r="Y23" s="15"/>
      <c r="Z23" s="15"/>
      <c r="AA23" s="15"/>
      <c r="AB23" s="15"/>
    </row>
    <row r="24" spans="1:28" x14ac:dyDescent="0.25">
      <c r="A24">
        <v>160</v>
      </c>
      <c r="B24">
        <v>1</v>
      </c>
      <c r="C24">
        <v>0.17798876394852961</v>
      </c>
      <c r="D24">
        <v>6.9220714167628775E-2</v>
      </c>
      <c r="E24">
        <v>4.0132195974168496</v>
      </c>
      <c r="F24">
        <v>3.9126914256491832</v>
      </c>
      <c r="G24" s="1">
        <f t="shared" si="0"/>
        <v>3.9629555115330164</v>
      </c>
      <c r="H24" s="1">
        <f t="shared" si="1"/>
        <v>9.3129454521025892</v>
      </c>
      <c r="I24">
        <v>0</v>
      </c>
      <c r="J24">
        <v>0.88334232000767232</v>
      </c>
      <c r="L24" s="5"/>
      <c r="M24" s="5"/>
      <c r="N24" s="5"/>
      <c r="O24" s="5"/>
      <c r="P24" s="5"/>
      <c r="Q24" s="5"/>
      <c r="R24" s="5"/>
      <c r="S24" s="5"/>
      <c r="U24" s="15"/>
      <c r="V24" s="15"/>
      <c r="W24" s="15"/>
      <c r="X24" s="15"/>
      <c r="Y24" s="15"/>
      <c r="Z24" s="15"/>
      <c r="AA24" s="15"/>
      <c r="AB24" s="15"/>
    </row>
    <row r="25" spans="1:28" x14ac:dyDescent="0.25">
      <c r="A25">
        <v>165</v>
      </c>
      <c r="B25">
        <v>1</v>
      </c>
      <c r="C25">
        <v>-6.1590421249595413E-2</v>
      </c>
      <c r="D25">
        <v>0.33860827510788111</v>
      </c>
      <c r="E25">
        <v>3.9717894372912741</v>
      </c>
      <c r="F25">
        <v>3.900105167729083</v>
      </c>
      <c r="G25" s="1">
        <f t="shared" si="0"/>
        <v>3.9359473025101783</v>
      </c>
      <c r="H25" s="1">
        <f t="shared" si="1"/>
        <v>9.2494761608989187</v>
      </c>
      <c r="I25">
        <v>0</v>
      </c>
      <c r="J25">
        <v>0.99999999999313038</v>
      </c>
      <c r="L25" s="5"/>
      <c r="M25" s="5"/>
      <c r="N25" s="5"/>
      <c r="O25" s="5"/>
      <c r="P25" s="5"/>
      <c r="Q25" s="5"/>
      <c r="R25" s="5"/>
      <c r="S25" s="5"/>
      <c r="U25" s="15"/>
      <c r="V25" s="15"/>
      <c r="W25" s="15"/>
      <c r="X25" s="15"/>
      <c r="Y25" s="15"/>
      <c r="Z25" s="15"/>
      <c r="AA25" s="15"/>
      <c r="AB25" s="15"/>
    </row>
    <row r="26" spans="1:28" x14ac:dyDescent="0.25">
      <c r="A26">
        <v>170</v>
      </c>
      <c r="B26">
        <v>1</v>
      </c>
      <c r="C26">
        <v>-0.20194650518410201</v>
      </c>
      <c r="D26">
        <v>-0.2299832886489645</v>
      </c>
      <c r="E26">
        <v>3.90952124804374</v>
      </c>
      <c r="F26">
        <v>3.854607860109815</v>
      </c>
      <c r="G26" s="1">
        <f t="shared" si="0"/>
        <v>3.8820645540767775</v>
      </c>
      <c r="H26" s="1">
        <f t="shared" si="1"/>
        <v>9.1228517020804283</v>
      </c>
      <c r="I26">
        <v>0</v>
      </c>
      <c r="J26">
        <v>0.99999999999725719</v>
      </c>
      <c r="L26" s="5"/>
      <c r="M26" s="5"/>
      <c r="N26" s="5"/>
      <c r="O26" s="5"/>
      <c r="P26" s="5"/>
      <c r="Q26" s="5"/>
      <c r="R26" s="5"/>
      <c r="S26" s="5"/>
      <c r="U26" s="15"/>
      <c r="V26" s="15"/>
      <c r="W26" s="15"/>
      <c r="X26" s="15"/>
      <c r="Y26" s="15"/>
      <c r="Z26" s="15"/>
      <c r="AA26" s="15"/>
      <c r="AB26" s="15"/>
    </row>
    <row r="27" spans="1:28" x14ac:dyDescent="0.25">
      <c r="A27">
        <v>175</v>
      </c>
      <c r="B27">
        <v>1</v>
      </c>
      <c r="C27">
        <v>-9.6948268010071281E-2</v>
      </c>
      <c r="D27">
        <v>0.32395537589000961</v>
      </c>
      <c r="E27">
        <v>3.879209316499113</v>
      </c>
      <c r="F27">
        <v>3.8268862314483552</v>
      </c>
      <c r="G27" s="1">
        <f t="shared" si="0"/>
        <v>3.8530477739737341</v>
      </c>
      <c r="H27" s="1">
        <f t="shared" si="1"/>
        <v>9.0546622688382747</v>
      </c>
      <c r="I27">
        <v>0</v>
      </c>
      <c r="J27">
        <v>1</v>
      </c>
      <c r="L27" s="5"/>
      <c r="M27" s="5"/>
      <c r="N27" s="5"/>
      <c r="O27" s="5"/>
      <c r="P27" s="5"/>
      <c r="Q27" s="5"/>
      <c r="R27" s="5"/>
      <c r="S27" s="5"/>
      <c r="U27" s="15"/>
      <c r="V27" s="15"/>
      <c r="W27" s="15"/>
      <c r="X27" s="15"/>
      <c r="Y27" s="15"/>
      <c r="Z27" s="15"/>
      <c r="AA27" s="15"/>
      <c r="AB27" s="15"/>
    </row>
    <row r="28" spans="1:28" x14ac:dyDescent="0.25">
      <c r="A28">
        <v>180</v>
      </c>
      <c r="B28">
        <v>1</v>
      </c>
      <c r="C28">
        <v>-0.26162549709132782</v>
      </c>
      <c r="D28">
        <v>4.2710706672060332E-2</v>
      </c>
      <c r="E28">
        <v>3.866173834119583</v>
      </c>
      <c r="F28">
        <v>3.800369681646953</v>
      </c>
      <c r="G28" s="1">
        <f t="shared" si="0"/>
        <v>3.833271757883268</v>
      </c>
      <c r="H28" s="1">
        <f t="shared" si="1"/>
        <v>9.0081886310256802</v>
      </c>
      <c r="I28">
        <v>0</v>
      </c>
      <c r="J28">
        <v>1</v>
      </c>
      <c r="L28" s="5"/>
      <c r="M28" s="5"/>
      <c r="N28" s="5"/>
      <c r="O28" s="5"/>
      <c r="P28" s="5"/>
      <c r="Q28" s="5"/>
      <c r="R28" s="5"/>
      <c r="S28" s="5"/>
      <c r="U28" s="15"/>
      <c r="V28" s="15"/>
      <c r="W28" s="15"/>
      <c r="X28" s="15"/>
      <c r="Y28" s="15"/>
      <c r="Z28" s="15"/>
      <c r="AA28" s="15"/>
      <c r="AB28" s="15"/>
    </row>
    <row r="29" spans="1:28" x14ac:dyDescent="0.25">
      <c r="A29">
        <v>185</v>
      </c>
      <c r="B29">
        <v>1</v>
      </c>
      <c r="C29">
        <v>-0.28596679156911481</v>
      </c>
      <c r="D29">
        <v>2.612819298484258E-2</v>
      </c>
      <c r="E29">
        <v>3.7931608710674092</v>
      </c>
      <c r="F29">
        <v>3.729180829680542</v>
      </c>
      <c r="G29" s="1">
        <f t="shared" si="0"/>
        <v>3.7611708503739756</v>
      </c>
      <c r="H29" s="1">
        <f t="shared" si="1"/>
        <v>8.8387514983788424</v>
      </c>
      <c r="I29">
        <v>0</v>
      </c>
      <c r="J29">
        <v>1</v>
      </c>
      <c r="L29" s="5"/>
      <c r="M29" s="5"/>
      <c r="N29" s="5"/>
      <c r="O29" s="5"/>
      <c r="P29" s="5"/>
      <c r="Q29" s="5"/>
      <c r="R29" s="5"/>
      <c r="S29" s="5"/>
      <c r="U29" s="15"/>
      <c r="V29" s="15"/>
      <c r="W29" s="15"/>
      <c r="X29" s="15"/>
      <c r="Y29" s="15"/>
      <c r="Z29" s="15"/>
      <c r="AA29" s="15"/>
      <c r="AB29" s="15"/>
    </row>
    <row r="30" spans="1:28" x14ac:dyDescent="0.25">
      <c r="A30">
        <v>190</v>
      </c>
      <c r="B30">
        <v>1</v>
      </c>
      <c r="C30">
        <v>3.5191801543367061E-2</v>
      </c>
      <c r="D30">
        <v>3.151999778157373E-2</v>
      </c>
      <c r="E30">
        <v>3.8115977066273361</v>
      </c>
      <c r="F30">
        <v>3.7119782100891721</v>
      </c>
      <c r="G30" s="1">
        <f t="shared" si="0"/>
        <v>3.7617879583582541</v>
      </c>
      <c r="H30" s="1">
        <f t="shared" si="1"/>
        <v>8.840201702141897</v>
      </c>
      <c r="I30">
        <v>0</v>
      </c>
      <c r="J30">
        <v>0.99999999800165673</v>
      </c>
      <c r="L30" s="5"/>
      <c r="M30" s="5"/>
      <c r="N30" s="5"/>
      <c r="O30" s="5"/>
      <c r="P30" s="5"/>
      <c r="Q30" s="5"/>
      <c r="R30" s="5"/>
      <c r="S30" s="5"/>
      <c r="U30" s="15"/>
      <c r="V30" s="15"/>
      <c r="W30" s="15"/>
      <c r="X30" s="15"/>
      <c r="Y30" s="15"/>
      <c r="Z30" s="15"/>
      <c r="AA30" s="15"/>
      <c r="AB30" s="15"/>
    </row>
    <row r="31" spans="1:28" x14ac:dyDescent="0.25">
      <c r="A31">
        <v>195</v>
      </c>
      <c r="B31">
        <v>1</v>
      </c>
      <c r="C31">
        <v>3.8809031441291317E-2</v>
      </c>
      <c r="D31">
        <v>0.29756182615865129</v>
      </c>
      <c r="E31">
        <v>3.7602723693916649</v>
      </c>
      <c r="F31">
        <v>3.6321111985516579</v>
      </c>
      <c r="G31" s="1">
        <f t="shared" si="0"/>
        <v>3.6961917839716616</v>
      </c>
      <c r="H31" s="1">
        <f t="shared" si="1"/>
        <v>8.6860506923334047</v>
      </c>
      <c r="I31">
        <v>0</v>
      </c>
      <c r="J31">
        <v>0.99999999999999944</v>
      </c>
      <c r="L31" s="5"/>
      <c r="M31" s="5"/>
      <c r="N31" s="5"/>
      <c r="O31" s="5"/>
      <c r="P31" s="5"/>
      <c r="Q31" s="5"/>
      <c r="R31" s="5"/>
      <c r="S31" s="5"/>
      <c r="U31" s="15"/>
      <c r="V31" s="15"/>
      <c r="W31" s="15"/>
      <c r="X31" s="15"/>
      <c r="Y31" s="15"/>
      <c r="Z31" s="15"/>
      <c r="AA31" s="15"/>
      <c r="AB31" s="15"/>
    </row>
    <row r="32" spans="1:28" x14ac:dyDescent="0.25">
      <c r="A32">
        <v>200</v>
      </c>
      <c r="B32">
        <v>1</v>
      </c>
      <c r="C32">
        <v>-0.2706945890755188</v>
      </c>
      <c r="D32">
        <v>0.2937291398913201</v>
      </c>
      <c r="E32">
        <v>3.7795942428689031</v>
      </c>
      <c r="F32">
        <v>3.581230909850758</v>
      </c>
      <c r="G32" s="1">
        <f t="shared" si="0"/>
        <v>3.6804125763598305</v>
      </c>
      <c r="H32" s="1">
        <f t="shared" si="1"/>
        <v>8.6489695544456016</v>
      </c>
      <c r="I32">
        <v>0</v>
      </c>
      <c r="J32">
        <v>0.999999999999998</v>
      </c>
      <c r="L32" s="5"/>
      <c r="M32" s="5"/>
      <c r="N32" s="5"/>
      <c r="O32" s="5"/>
      <c r="P32" s="5"/>
      <c r="Q32" s="5"/>
      <c r="R32" s="5"/>
      <c r="S32" s="5"/>
      <c r="U32" s="15"/>
      <c r="V32" s="15"/>
      <c r="W32" s="15"/>
      <c r="X32" s="15"/>
      <c r="Y32" s="15"/>
      <c r="Z32" s="15"/>
      <c r="AA32" s="15"/>
      <c r="AB32" s="15"/>
    </row>
    <row r="33" spans="1:28" x14ac:dyDescent="0.25">
      <c r="A33">
        <v>205</v>
      </c>
      <c r="B33">
        <v>1</v>
      </c>
      <c r="C33">
        <v>-1.586024754979817E-2</v>
      </c>
      <c r="D33">
        <v>0.2849732066735115</v>
      </c>
      <c r="E33">
        <v>3.7379716901817832</v>
      </c>
      <c r="F33">
        <v>3.4971185068773849</v>
      </c>
      <c r="G33" s="1">
        <f t="shared" si="0"/>
        <v>3.6175450985295843</v>
      </c>
      <c r="H33" s="1">
        <f t="shared" si="1"/>
        <v>8.5012309815445235</v>
      </c>
      <c r="I33">
        <v>0</v>
      </c>
      <c r="J33">
        <v>0.99999999999999967</v>
      </c>
      <c r="L33" s="5"/>
      <c r="M33" s="5"/>
      <c r="N33" s="5"/>
      <c r="O33" s="5"/>
      <c r="P33" s="5"/>
      <c r="Q33" s="5"/>
      <c r="R33" s="5"/>
      <c r="S33" s="5"/>
      <c r="U33" s="15"/>
      <c r="V33" s="15"/>
      <c r="W33" s="15"/>
      <c r="X33" s="15"/>
      <c r="Y33" s="15"/>
      <c r="Z33" s="15"/>
      <c r="AA33" s="15"/>
      <c r="AB33" s="15"/>
    </row>
    <row r="34" spans="1:28" x14ac:dyDescent="0.25">
      <c r="A34">
        <v>210</v>
      </c>
      <c r="B34">
        <v>1</v>
      </c>
      <c r="C34">
        <v>8.1505355049305964E-2</v>
      </c>
      <c r="D34">
        <v>8.1374156603063741E-3</v>
      </c>
      <c r="E34">
        <v>3.6342075222241701</v>
      </c>
      <c r="F34">
        <v>3.365695009473574</v>
      </c>
      <c r="G34" s="1">
        <f t="shared" si="0"/>
        <v>3.4999512658488721</v>
      </c>
      <c r="H34" s="1">
        <f t="shared" si="1"/>
        <v>8.2248854747448501</v>
      </c>
      <c r="I34">
        <v>0</v>
      </c>
      <c r="J34">
        <v>1</v>
      </c>
      <c r="L34" s="5"/>
      <c r="M34" s="5"/>
      <c r="N34" s="5"/>
      <c r="O34" s="5"/>
      <c r="P34" s="5"/>
      <c r="Q34" s="5"/>
      <c r="R34" s="5"/>
      <c r="S34" s="5"/>
      <c r="U34" s="15"/>
      <c r="V34" s="15"/>
      <c r="W34" s="15"/>
      <c r="X34" s="15"/>
      <c r="Y34" s="15"/>
      <c r="Z34" s="15"/>
      <c r="AA34" s="15"/>
      <c r="AB34" s="15"/>
    </row>
    <row r="35" spans="1:28" x14ac:dyDescent="0.25">
      <c r="A35">
        <v>215</v>
      </c>
      <c r="B35">
        <v>0.99999999999945999</v>
      </c>
      <c r="C35">
        <v>3.8124390285491007E-2</v>
      </c>
      <c r="D35">
        <v>0.11565924888567571</v>
      </c>
      <c r="E35">
        <v>3.5526757411241991</v>
      </c>
      <c r="F35">
        <v>3.2917058126470971</v>
      </c>
      <c r="G35" s="1">
        <f t="shared" si="0"/>
        <v>3.4221907768856479</v>
      </c>
      <c r="H35" s="1">
        <f t="shared" si="1"/>
        <v>8.0421483256812731</v>
      </c>
      <c r="I35">
        <v>0</v>
      </c>
      <c r="J35">
        <v>1</v>
      </c>
      <c r="L35" s="5"/>
      <c r="M35" s="5"/>
      <c r="N35" s="5"/>
      <c r="O35" s="5"/>
      <c r="P35" s="5"/>
      <c r="Q35" s="5"/>
      <c r="R35" s="5"/>
      <c r="S35" s="5"/>
      <c r="U35" s="15"/>
      <c r="V35" s="15"/>
      <c r="W35" s="15"/>
      <c r="X35" s="15"/>
      <c r="Y35" s="15"/>
      <c r="Z35" s="15"/>
      <c r="AA35" s="15"/>
      <c r="AB35" s="15"/>
    </row>
    <row r="36" spans="1:28" x14ac:dyDescent="0.25">
      <c r="A36">
        <v>220</v>
      </c>
      <c r="B36">
        <v>1</v>
      </c>
      <c r="C36">
        <v>0.1319123605933806</v>
      </c>
      <c r="D36">
        <v>2.830514387046781E-2</v>
      </c>
      <c r="E36">
        <v>3.4098308800616342</v>
      </c>
      <c r="F36">
        <v>3.2165341117370301</v>
      </c>
      <c r="G36" s="1">
        <f t="shared" si="0"/>
        <v>3.3131824958993321</v>
      </c>
      <c r="H36" s="1">
        <f t="shared" si="1"/>
        <v>7.7859788653634308</v>
      </c>
      <c r="I36">
        <v>0</v>
      </c>
      <c r="J36">
        <v>0.99999999950395957</v>
      </c>
      <c r="L36" s="5"/>
      <c r="M36" s="5"/>
      <c r="N36" s="5"/>
      <c r="O36" s="5"/>
      <c r="P36" s="5"/>
      <c r="Q36" s="5"/>
      <c r="R36" s="5"/>
      <c r="S36" s="5"/>
      <c r="U36" s="15"/>
      <c r="V36" s="15"/>
      <c r="W36" s="15"/>
      <c r="X36" s="15"/>
      <c r="Y36" s="15"/>
      <c r="Z36" s="15"/>
      <c r="AA36" s="15"/>
      <c r="AB36" s="15"/>
    </row>
    <row r="37" spans="1:28" x14ac:dyDescent="0.25">
      <c r="A37">
        <v>225</v>
      </c>
      <c r="B37">
        <v>1</v>
      </c>
      <c r="C37">
        <v>-9.4419036429569586E-2</v>
      </c>
      <c r="D37">
        <v>2.4649968625296951E-2</v>
      </c>
      <c r="E37">
        <v>3.3269426838563589</v>
      </c>
      <c r="F37">
        <v>3.2357290963381571</v>
      </c>
      <c r="G37" s="1">
        <f t="shared" si="0"/>
        <v>3.281335890097258</v>
      </c>
      <c r="H37" s="1">
        <f t="shared" si="1"/>
        <v>7.7111393417285568</v>
      </c>
      <c r="I37">
        <v>0</v>
      </c>
      <c r="J37">
        <v>0.99999999776036008</v>
      </c>
      <c r="L37" s="5"/>
      <c r="M37" s="5"/>
      <c r="N37" s="5"/>
      <c r="O37" s="5"/>
      <c r="P37" s="5"/>
      <c r="Q37" s="5"/>
      <c r="R37" s="5"/>
      <c r="S37" s="5"/>
      <c r="U37" s="15"/>
      <c r="V37" s="15"/>
      <c r="W37" s="15"/>
      <c r="X37" s="15"/>
      <c r="Y37" s="15"/>
      <c r="Z37" s="15"/>
      <c r="AA37" s="15"/>
      <c r="AB37" s="15"/>
    </row>
    <row r="38" spans="1:28" x14ac:dyDescent="0.25">
      <c r="A38">
        <v>230</v>
      </c>
      <c r="B38">
        <v>1</v>
      </c>
      <c r="C38">
        <v>0.1121488385246289</v>
      </c>
      <c r="D38">
        <v>0.16857795436075579</v>
      </c>
      <c r="E38">
        <v>3.2732111638307462</v>
      </c>
      <c r="F38">
        <v>3.3060030617324001</v>
      </c>
      <c r="G38" s="1">
        <f t="shared" si="0"/>
        <v>3.2896071127815731</v>
      </c>
      <c r="H38" s="1">
        <f t="shared" si="1"/>
        <v>7.7305767150366975</v>
      </c>
      <c r="I38">
        <v>0</v>
      </c>
      <c r="J38">
        <v>0.99985846691475144</v>
      </c>
      <c r="L38" s="5"/>
      <c r="M38" s="5"/>
      <c r="N38" s="5"/>
      <c r="O38" s="5"/>
      <c r="P38" s="5"/>
      <c r="Q38" s="5"/>
      <c r="R38" s="5"/>
      <c r="S38" s="5"/>
      <c r="U38" s="15"/>
      <c r="V38" s="15"/>
      <c r="W38" s="15"/>
      <c r="X38" s="15"/>
      <c r="Y38" s="15"/>
      <c r="Z38" s="15"/>
      <c r="AA38" s="15"/>
      <c r="AB38" s="15"/>
    </row>
    <row r="39" spans="1:28" x14ac:dyDescent="0.25">
      <c r="A39">
        <v>235</v>
      </c>
      <c r="B39">
        <v>1</v>
      </c>
      <c r="C39">
        <v>3.027604432106518E-2</v>
      </c>
      <c r="D39">
        <v>-4.2850411740433761E-2</v>
      </c>
      <c r="E39">
        <v>3.1792741587378268</v>
      </c>
      <c r="F39">
        <v>3.3104791993509699</v>
      </c>
      <c r="G39" s="1">
        <f t="shared" si="0"/>
        <v>3.2448766790443981</v>
      </c>
      <c r="H39" s="1">
        <f t="shared" si="1"/>
        <v>7.6254601957543358</v>
      </c>
      <c r="I39">
        <v>0</v>
      </c>
      <c r="J39">
        <v>0.99913866275825713</v>
      </c>
      <c r="L39" s="5"/>
      <c r="M39" s="5"/>
      <c r="N39" s="5"/>
      <c r="O39" s="5"/>
      <c r="P39" s="5"/>
      <c r="Q39" s="5"/>
      <c r="R39" s="5"/>
      <c r="S39" s="5"/>
      <c r="U39" s="15"/>
      <c r="V39" s="15"/>
      <c r="W39" s="15"/>
      <c r="X39" s="15"/>
      <c r="Y39" s="15"/>
      <c r="Z39" s="15"/>
      <c r="AA39" s="15"/>
      <c r="AB39" s="15"/>
    </row>
    <row r="40" spans="1:28" x14ac:dyDescent="0.25">
      <c r="A40">
        <v>240</v>
      </c>
      <c r="B40">
        <v>1</v>
      </c>
      <c r="C40">
        <v>6.0167718103050069E-3</v>
      </c>
      <c r="D40">
        <v>0.24818575615582569</v>
      </c>
      <c r="E40">
        <v>3.1512585204693702</v>
      </c>
      <c r="F40">
        <v>3.3035327276513828</v>
      </c>
      <c r="G40" s="1">
        <f t="shared" si="0"/>
        <v>3.2273956240603763</v>
      </c>
      <c r="H40" s="1">
        <f t="shared" si="1"/>
        <v>7.5843797165418847</v>
      </c>
      <c r="I40">
        <v>0</v>
      </c>
      <c r="J40">
        <v>0.99960859077835007</v>
      </c>
      <c r="L40" s="5"/>
      <c r="M40" s="5"/>
      <c r="N40" s="5"/>
      <c r="O40" s="5"/>
      <c r="P40" s="5"/>
      <c r="Q40" s="5"/>
      <c r="R40" s="5"/>
      <c r="S40" s="5"/>
      <c r="U40" s="15"/>
      <c r="V40" s="15"/>
      <c r="W40" s="15"/>
      <c r="X40" s="15"/>
      <c r="Y40" s="15"/>
      <c r="Z40" s="15"/>
      <c r="AA40" s="15"/>
      <c r="AB40" s="15"/>
    </row>
    <row r="41" spans="1:28" x14ac:dyDescent="0.25">
      <c r="A41">
        <v>245</v>
      </c>
      <c r="B41">
        <v>1</v>
      </c>
      <c r="C41">
        <v>3.3296150243550197E-2</v>
      </c>
      <c r="D41">
        <v>0.21181671294431861</v>
      </c>
      <c r="E41">
        <v>2.966009830864806</v>
      </c>
      <c r="F41">
        <v>3.0828276216172461</v>
      </c>
      <c r="G41" s="1">
        <f t="shared" si="0"/>
        <v>3.0244187262410263</v>
      </c>
      <c r="H41" s="1">
        <f t="shared" si="1"/>
        <v>7.107384006666412</v>
      </c>
      <c r="I41">
        <v>0</v>
      </c>
      <c r="J41">
        <v>0.9994700704896502</v>
      </c>
      <c r="L41" s="5"/>
      <c r="M41" s="5"/>
      <c r="N41" s="5"/>
      <c r="O41" s="5"/>
      <c r="P41" s="5"/>
      <c r="Q41" s="5"/>
      <c r="R41" s="5"/>
      <c r="S41" s="5"/>
      <c r="U41" s="15"/>
      <c r="V41" s="15"/>
      <c r="W41" s="15"/>
      <c r="X41" s="15"/>
      <c r="Y41" s="15"/>
      <c r="Z41" s="15"/>
      <c r="AA41" s="15"/>
      <c r="AB41" s="15"/>
    </row>
  </sheetData>
  <mergeCells count="1">
    <mergeCell ref="B4:J4"/>
  </mergeCells>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TPS</vt:lpstr>
      <vt:lpstr>G1_GA0</vt:lpstr>
      <vt:lpstr>G1_GA90</vt:lpstr>
      <vt:lpstr>G1_GA180</vt:lpstr>
      <vt:lpstr>G1_GA270</vt:lpstr>
      <vt:lpstr>G2_GA0</vt:lpstr>
      <vt:lpstr>G2_GA0_annual</vt:lpstr>
      <vt:lpstr>G2_GA90</vt:lpstr>
      <vt:lpstr>G2_GA180</vt:lpstr>
      <vt:lpstr>G2_GA270</vt:lpstr>
      <vt:lpstr>G3_GA0</vt:lpstr>
      <vt:lpstr>G3_GA90</vt:lpstr>
      <vt:lpstr>G3_GA180</vt:lpstr>
      <vt:lpstr>G3_GA270</vt:lpstr>
      <vt:lpstr>G4_GA0</vt:lpstr>
      <vt:lpstr>G4_GA90</vt:lpstr>
      <vt:lpstr>G4_GA180</vt:lpstr>
      <vt:lpstr>G4_GA270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Savanna KW Chung</dc:creator>
  <cp:keywords/>
  <dc:description/>
  <cp:lastModifiedBy>CHUNG, Ka Wing (UNIVERSITY COLLEGE LONDON HOSPITALS NH</cp:lastModifiedBy>
  <cp:revision/>
  <dcterms:created xsi:type="dcterms:W3CDTF">2026-05-29T11:56:50Z</dcterms:created>
  <dcterms:modified xsi:type="dcterms:W3CDTF">2026-09-02T15:24:55Z</dcterms:modified>
  <cp:category/>
  <cp:contentStatus/>
</cp:coreProperties>
</file>